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ポタ電一覧" sheetId="1" r:id="rId1"/>
    <sheet name="A列定义" sheetId="2" r:id="rId2"/>
    <sheet name="ソラパ一覧" sheetId="3" r:id="rId3"/>
    <sheet name="アクセサリー" sheetId="4" r:id="rId4"/>
    <sheet name="有償修理料金（削除）" sheetId="5" r:id="rId5" state="hidden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Q36" authorId="0">
      <text>
        <r>
          <rPr>
            <rFont val="宋体"/>
            <color rgb="FF000000"/>
            <sz val="10.0"/>
          </rPr>
          <t xml:space="preserve">旧⇒旧バージョンのソラパ200；新⇒現在販売しているソラパ200
  - 胡新苗Nae</t>
        </r>
        <r>
          <t xml:space="preserve">
</t>
        </r>
        <r>
          <t xml:space="preserve">  - Jannine 王宝珠</t>
        </r>
      </text>
    </comment>
  </commentList>
</comments>
</file>

<file path=xl/sharedStrings.xml><?xml version="1.0" encoding="utf-8"?>
<sst xmlns="http://schemas.openxmlformats.org/spreadsheetml/2006/main">
  <si>
    <t>s</t>
  </si>
  <si>
    <t>製品名</t>
  </si>
  <si>
    <t>Jackery ポータブル電源 100Plus</t>
  </si>
  <si>
    <t>Jackery ポータブル電源 240 New</t>
  </si>
  <si>
    <t>Jackery ポータブル電源 240</t>
  </si>
  <si>
    <t>Jackery ポータブル電源 300Plus</t>
  </si>
  <si>
    <t>Jackery ポータブル電源 400</t>
  </si>
  <si>
    <t>Jackery ポータブル電源 600Plus</t>
  </si>
  <si>
    <t>Jackery ポータブル電源 700</t>
  </si>
  <si>
    <t>Jackery ポータブル電源 Captain708</t>
  </si>
  <si>
    <t>Jackery ポータブル電源 1000</t>
  </si>
  <si>
    <t>Jackeryポータブル電源1000Pro</t>
  </si>
  <si>
    <t>Jackery ポータブル電源 1000New</t>
  </si>
  <si>
    <t>Jackery ポータブル電源 1000Plus</t>
  </si>
  <si>
    <t>1000Plus 
拡張バッテリー</t>
  </si>
  <si>
    <t>Jackery ポータブル電源 1500</t>
  </si>
  <si>
    <t>Jackery ポータブル電源 1500Pro</t>
  </si>
  <si>
    <t>Jackery ポータブル電源 2000Pro</t>
  </si>
  <si>
    <t>Jackery ポータブル電源 2000new</t>
  </si>
  <si>
    <t>Jackery ポータブル電源 2000Plus</t>
  </si>
  <si>
    <t xml:space="preserve"> 2000Plus
拡張バッテリー</t>
  </si>
  <si>
    <t>Jackery ポータブル電源 3000Pro</t>
  </si>
  <si>
    <t>型番</t>
  </si>
  <si>
    <t>JE-100A</t>
  </si>
  <si>
    <t>JE-240A</t>
  </si>
  <si>
    <t>PTB021</t>
  </si>
  <si>
    <t>JE-300B</t>
  </si>
  <si>
    <t>PTB041</t>
  </si>
  <si>
    <t>JE-600C</t>
  </si>
  <si>
    <t>PTB071</t>
  </si>
  <si>
    <t>PTB101</t>
  </si>
  <si>
    <t>JE-1000B</t>
  </si>
  <si>
    <t>JE-1000D</t>
  </si>
  <si>
    <t>JE-1000C</t>
  </si>
  <si>
    <t>JBP-1000A</t>
  </si>
  <si>
    <t>PTB152</t>
  </si>
  <si>
    <t>JE-1500B</t>
  </si>
  <si>
    <t>JE-2000A</t>
  </si>
  <si>
    <t>JE-2000D</t>
  </si>
  <si>
    <t>JE-2000C</t>
  </si>
  <si>
    <t>JBP-2000A</t>
  </si>
  <si>
    <t>JE-3000A</t>
  </si>
  <si>
    <t>容量</t>
  </si>
  <si>
    <t>99.2Wh</t>
  </si>
  <si>
    <t>256Wh</t>
  </si>
  <si>
    <t>240Wh</t>
  </si>
  <si>
    <t>288Wh</t>
  </si>
  <si>
    <t>400Wh</t>
  </si>
  <si>
    <t>632Wh</t>
  </si>
  <si>
    <t>700Wh</t>
  </si>
  <si>
    <t>708Wh</t>
  </si>
  <si>
    <t>1002Wh</t>
  </si>
  <si>
    <t>1070Wh</t>
  </si>
  <si>
    <t>1264Wh</t>
  </si>
  <si>
    <t>1534Wh</t>
  </si>
  <si>
    <t>1512Wh</t>
  </si>
  <si>
    <t>2160Wh</t>
  </si>
  <si>
    <t>2042Wh</t>
  </si>
  <si>
    <t>2042.8wh</t>
  </si>
  <si>
    <t>3024Wh</t>
  </si>
  <si>
    <t>サイクル</t>
  </si>
  <si>
    <t>2,000回</t>
  </si>
  <si>
    <t>4000回</t>
  </si>
  <si>
    <t>500回</t>
  </si>
  <si>
    <t>3000回</t>
  </si>
  <si>
    <t>1000回</t>
  </si>
  <si>
    <t>4000 回</t>
  </si>
  <si>
    <t>4000 回≥70%</t>
  </si>
  <si>
    <t>800回</t>
  </si>
  <si>
    <t>4000回（70%）</t>
  </si>
  <si>
    <t>2000回</t>
  </si>
  <si>
    <t>弦波タイプ</t>
  </si>
  <si>
    <t>純正弦波</t>
  </si>
  <si>
    <t>サイズ(cm)
(W)横×(D)縦×(H)高さ</t>
  </si>
  <si>
    <t xml:space="preserve">12.6 x 8.65 x 8.7 </t>
  </si>
  <si>
    <t>23.1 x 15.3 x 16.8</t>
  </si>
  <si>
    <t>23*13.32*16.73</t>
  </si>
  <si>
    <t>23 x 15.5 x 17</t>
  </si>
  <si>
    <t>23×15.32×16.73</t>
  </si>
  <si>
    <t>30*21.9*19.7</t>
  </si>
  <si>
    <t>29.97*19.29*19.15</t>
  </si>
  <si>
    <t>29.972*19.15*19.05</t>
  </si>
  <si>
    <t>33.2*23.3*24.3</t>
  </si>
  <si>
    <t>34.0*26.0*25.5</t>
  </si>
  <si>
    <t>32.7×22.4×24.7cm</t>
  </si>
  <si>
    <t>35.6 x 26 x  28</t>
  </si>
  <si>
    <t>35.6*26*19.8</t>
  </si>
  <si>
    <t>35.5*26.5*25.3</t>
  </si>
  <si>
    <t>38.4*26.9*30.75</t>
  </si>
  <si>
    <t>38.4 * 26.9 * 30.7</t>
  </si>
  <si>
    <t>33.5×26.4×29.2</t>
  </si>
  <si>
    <t>47 x 33.1 x 37</t>
  </si>
  <si>
    <t>47 x 33.1 x 23.1 cm</t>
  </si>
  <si>
    <t>47.5*35.2*37</t>
  </si>
  <si>
    <t>重量</t>
  </si>
  <si>
    <t>約965g</t>
  </si>
  <si>
    <t>約3.6kg</t>
  </si>
  <si>
    <t>約3.1kg</t>
  </si>
  <si>
    <t>約3.75Kg</t>
  </si>
  <si>
    <t>約4.1kg</t>
  </si>
  <si>
    <t>約7.3kg</t>
  </si>
  <si>
    <t>約6.3kg</t>
  </si>
  <si>
    <t>約6.8kg</t>
  </si>
  <si>
    <t>約10.6kg</t>
  </si>
  <si>
    <t>約11.5Kg</t>
  </si>
  <si>
    <t>約10.8kg</t>
  </si>
  <si>
    <t>約15Kg</t>
  </si>
  <si>
    <t>10Kg</t>
  </si>
  <si>
    <t xml:space="preserve"> 約16kg</t>
  </si>
  <si>
    <t>約17kg</t>
  </si>
  <si>
    <t>約19.5kg</t>
  </si>
  <si>
    <t>約17.9 kg</t>
  </si>
  <si>
    <t>約27.9kg</t>
  </si>
  <si>
    <t>19.8KG</t>
  </si>
  <si>
    <t>約29 kg</t>
  </si>
  <si>
    <t>DC入力-ソーラーパネル入力</t>
  </si>
  <si>
    <t>11V-17.5V，5A max</t>
  </si>
  <si>
    <t>最大100W</t>
  </si>
  <si>
    <t>19V/3.42A 12-30V対応 
電流制限3.5A
</t>
  </si>
  <si>
    <t>12-27V，5A max，100W max</t>
  </si>
  <si>
    <t>19V/3.42A 12-30V対応可能
電流制限3.42A
(最大入力範囲：60W ~ 80W）</t>
  </si>
  <si>
    <t>16V-60V⎓10.5A
最大200W</t>
  </si>
  <si>
    <t>24V/3.75A 12-30V対応可能
電流制限3.75A
 (最大入力範囲：90W）</t>
  </si>
  <si>
    <t>24V/7.5A12-30V対応可能
電流制限7.5A
（最大入力範囲：180W）</t>
  </si>
  <si>
    <t>24V/7.5A12-30V対応可能
電流制限7.5A　
（最大入力範囲：180W）</t>
  </si>
  <si>
    <t>17.5-60V/11A,
電流制限22A,
合計800W</t>
  </si>
  <si>
    <t>16-60V(電圧範囲)⎓10.5A電流制限21A, 最大400W 
</t>
  </si>
  <si>
    <t>1ポート12~60V/11A （最大），2ポート22A / 800W（最大）</t>
  </si>
  <si>
    <t>24V/10.5A　12-30V対応可能
電流制限8A
（最大入力範囲：500W）
</t>
  </si>
  <si>
    <t>
17.5-60V/12A,電流制限24A, 
合計1400W</t>
  </si>
  <si>
    <t>17.5-60V/12A,電流制限24A
合計1400W</t>
  </si>
  <si>
    <t>16V-60V⎓12A, 電流制限21A 
</t>
  </si>
  <si>
    <t xml:space="preserve">
17.5-60V⎓ 12A、1ポート電流制限12A；2ポート電流制限24A;最大1400W </t>
  </si>
  <si>
    <t>11V-17.5V  8A Max
 17.5V-60V/12A,  24A/1400W Max</t>
  </si>
  <si>
    <t>17.5V-60V/12A,電流制限24A</t>
  </si>
  <si>
    <t>ソーラーパネル入力の形</t>
  </si>
  <si>
    <t>USB入力ポートによる</t>
  </si>
  <si>
    <t>DC入力ポートによる</t>
  </si>
  <si>
    <t>ソーラーパネル入力ポート数</t>
  </si>
  <si>
    <t>DC入力-シガーソケット入力</t>
  </si>
  <si>
    <t>11V-16V⎓8A Max</t>
  </si>
  <si>
    <t>12-17.5V/8A,
電流制限16A</t>
  </si>
  <si>
    <t>12-16V(電圧範囲)⎓電流制限8A</t>
  </si>
  <si>
    <t>12V,電流制限11A</t>
  </si>
  <si>
    <t>11-17.5V/8A,電流制限8A</t>
  </si>
  <si>
    <t>11-17.5V/8A, 電流制限8A</t>
  </si>
  <si>
    <t>11V-16V⎓8A, 電流制限8A</t>
  </si>
  <si>
    <t>11-17.5V⎓ 8A（最大）</t>
  </si>
  <si>
    <t>11V-17.5V/8A Max,  電流制限8A</t>
  </si>
  <si>
    <t>シガーソケット入力の形</t>
  </si>
  <si>
    <t>シガーソケット入力ポート数</t>
  </si>
  <si>
    <t>AC入力</t>
  </si>
  <si>
    <t>100V-120V, 最大10A
最大200W</t>
  </si>
  <si>
    <t>19V/3.42A 12-30V対応可能
電流制限3.5A
</t>
  </si>
  <si>
    <t xml:space="preserve"> 100V~120V, 最大15A</t>
  </si>
  <si>
    <t>100V-120V, 最大15A</t>
  </si>
  <si>
    <t>100V, 最大15A
</t>
  </si>
  <si>
    <t>100-120V　 最大15A</t>
  </si>
  <si>
    <t>100V~120V　15A max</t>
  </si>
  <si>
    <t>100V，電流制限13A；最大1300W
</t>
  </si>
  <si>
    <t>100V-120V , 最大15A
</t>
  </si>
  <si>
    <t xml:space="preserve"> 100V, 最大15A
</t>
  </si>
  <si>
    <t/>
  </si>
  <si>
    <t>100V, 最大15A</t>
  </si>
  <si>
    <t>AC入力に必要な電力</t>
  </si>
  <si>
    <t>100ｗ以上</t>
  </si>
  <si>
    <t>200ｗ以上</t>
  </si>
  <si>
    <t>65ｗ以上</t>
  </si>
  <si>
    <t xml:space="preserve"> 200ｗ以上</t>
  </si>
  <si>
    <t>1500ｗ以上</t>
  </si>
  <si>
    <t>90W以上</t>
  </si>
  <si>
    <t>180W以上</t>
  </si>
  <si>
    <t>770W以上</t>
  </si>
  <si>
    <t>1000W以上</t>
  </si>
  <si>
    <t>1200W以上</t>
  </si>
  <si>
    <t>500W以上</t>
  </si>
  <si>
    <t>1100W以上</t>
  </si>
  <si>
    <t>1450W以上</t>
  </si>
  <si>
    <t>1500W以上</t>
  </si>
  <si>
    <t>シガーソケット出力</t>
  </si>
  <si>
    <t>シガーソケット出力ポートなし</t>
  </si>
  <si>
    <t>12V⎓10A</t>
  </si>
  <si>
    <t>12V/10A</t>
  </si>
  <si>
    <t>12.V/10A</t>
  </si>
  <si>
    <t>12V/10A
</t>
  </si>
  <si>
    <t>12V⎓10A, 最大10A</t>
  </si>
  <si>
    <t>12.0V(±1V)/10A</t>
  </si>
  <si>
    <t>12V⎓10A Max</t>
  </si>
  <si>
    <t>12V,10A</t>
  </si>
  <si>
    <t>シガーソケット出力ポート数</t>
  </si>
  <si>
    <t>AC出力</t>
  </si>
  <si>
    <t>AC出力対応しません</t>
  </si>
  <si>
    <t xml:space="preserve">100V, 3A, 最大300W </t>
  </si>
  <si>
    <t>100V/2A,最大200ｗ
</t>
  </si>
  <si>
    <t xml:space="preserve">100V,3A, 最大300W </t>
  </si>
  <si>
    <t>100V/2A 
</t>
  </si>
  <si>
    <t xml:space="preserve">100V, 最大8A, 2ポート合計800W </t>
  </si>
  <si>
    <t>100V/5A
</t>
  </si>
  <si>
    <t xml:space="preserve">100V/5A </t>
  </si>
  <si>
    <t xml:space="preserve">100V/10A </t>
  </si>
  <si>
    <t xml:space="preserve">100V/10A 1ポート最大10A/1000W, 
3ポート合計最大1000W </t>
  </si>
  <si>
    <t>120V　最大1500W</t>
  </si>
  <si>
    <t xml:space="preserve">100V,20A,最大 2000W </t>
  </si>
  <si>
    <t>100V/18A ,60Hz</t>
  </si>
  <si>
    <t>100V/18A,
3ポート合計1800W</t>
  </si>
  <si>
    <t>100V/20A</t>
  </si>
  <si>
    <t xml:space="preserve">100V ,最大2200W </t>
  </si>
  <si>
    <t>100V,30A，最大3000W</t>
  </si>
  <si>
    <t>100V,20A, 最大3000W 
</t>
  </si>
  <si>
    <t>AC瞬間最大出力</t>
  </si>
  <si>
    <t>600w</t>
  </si>
  <si>
    <t>400w</t>
  </si>
  <si>
    <t>1600W</t>
  </si>
  <si>
    <t>1000w</t>
  </si>
  <si>
    <t>2000ｗ</t>
  </si>
  <si>
    <t>2000w</t>
  </si>
  <si>
    <t>3000ｗ</t>
  </si>
  <si>
    <t>4000ｗ</t>
  </si>
  <si>
    <t>3600W</t>
  </si>
  <si>
    <t>4400W</t>
  </si>
  <si>
    <t>6000W</t>
  </si>
  <si>
    <t>6000Ｗ</t>
  </si>
  <si>
    <t>AC出力ポート数</t>
  </si>
  <si>
    <t>AC出力ポートなし</t>
  </si>
  <si>
    <t>USBポート数</t>
  </si>
  <si>
    <t>USB-A出力</t>
  </si>
  <si>
    <t>最大18W</t>
  </si>
  <si>
    <t>5V⎓3A, 最大15W</t>
  </si>
  <si>
    <t>5V/2.4A</t>
  </si>
  <si>
    <t>5V⎓ 3A,最大15W</t>
  </si>
  <si>
    <t>5-6V⎓3A, 6-9V⎓2A, 9-12V⎓1.5A, 最大18W</t>
  </si>
  <si>
    <t xml:space="preserve"> 最大18W</t>
  </si>
  <si>
    <t>5-6V/3A,6-9V/2A,9-12V/1.5A最大18W</t>
  </si>
  <si>
    <t>USB-C【入力】</t>
  </si>
  <si>
    <t>USB-C入力ポートなし</t>
  </si>
  <si>
    <t>12V-27V,5A, 最大100W</t>
  </si>
  <si>
    <t>最大60w</t>
  </si>
  <si>
    <t>USB-C【出力】</t>
  </si>
  <si>
    <t>USB-Cポートなし</t>
  </si>
  <si>
    <t>1*USB-C：最大100W
1*USB-C：最大30W</t>
  </si>
  <si>
    <t>20V,3A,</t>
  </si>
  <si>
    <t>20V,5A,最大100w</t>
  </si>
  <si>
    <t>最大100w</t>
  </si>
  <si>
    <t>最大60W</t>
  </si>
  <si>
    <t>充電温度</t>
  </si>
  <si>
    <t>0°C～40°C</t>
  </si>
  <si>
    <t>0°C~45 °C</t>
  </si>
  <si>
    <t>0°C-40℃</t>
  </si>
  <si>
    <t>0 °C~45 °C</t>
  </si>
  <si>
    <t>0℃-40℃</t>
  </si>
  <si>
    <t>0°C~45°C</t>
  </si>
  <si>
    <t>動作温度</t>
  </si>
  <si>
    <t>-10°C～40°C</t>
  </si>
  <si>
    <t>-10°C~45 °C</t>
  </si>
  <si>
    <t>-10°C-40℃</t>
  </si>
  <si>
    <t>-10 °C~45 °C</t>
  </si>
  <si>
    <t xml:space="preserve"> -10~45℃</t>
  </si>
  <si>
    <t>-10℃-40℃</t>
  </si>
  <si>
    <t xml:space="preserve">-10°C~45°C </t>
  </si>
  <si>
    <t>-10-40℃</t>
  </si>
  <si>
    <t>-20℃~40℃</t>
  </si>
  <si>
    <t>保存温度</t>
  </si>
  <si>
    <t>材質</t>
  </si>
  <si>
    <t>PC+ABS高強度プラスチック</t>
  </si>
  <si>
    <t>充電時間
（ACアダプター・AC充電ケーブル）</t>
  </si>
  <si>
    <t>約1.8時間</t>
  </si>
  <si>
    <t>約1.9時間</t>
  </si>
  <si>
    <t>約6.5時間</t>
  </si>
  <si>
    <t xml:space="preserve">约 2時間 </t>
  </si>
  <si>
    <t>約7.5時間</t>
  </si>
  <si>
    <t>約1.7時間</t>
  </si>
  <si>
    <t>約8.5時間</t>
  </si>
  <si>
    <t>約5時間</t>
  </si>
  <si>
    <t>約2時間</t>
  </si>
  <si>
    <t>1000Plus搭載で約1.7時間</t>
  </si>
  <si>
    <t>2000Plus搭載で約2.9時間</t>
  </si>
  <si>
    <t>約2.8時間</t>
  </si>
  <si>
    <t>充電時間
（シガーソケット）</t>
  </si>
  <si>
    <t>2.5時間</t>
  </si>
  <si>
    <t>約5.5時間</t>
  </si>
  <si>
    <t>約10.5時間</t>
  </si>
  <si>
    <t>約3.5時間</t>
  </si>
  <si>
    <t>約12時間</t>
  </si>
  <si>
    <t>約13時間</t>
  </si>
  <si>
    <t>約14時間</t>
  </si>
  <si>
    <t>約7時間</t>
  </si>
  <si>
    <t>約16.5時間</t>
  </si>
  <si>
    <t>約24時間</t>
  </si>
  <si>
    <t>約25時間</t>
  </si>
  <si>
    <t>約35時間</t>
  </si>
  <si>
    <t>充電時間
（Solarsaga40）</t>
  </si>
  <si>
    <t>1枚：約5.5時間</t>
  </si>
  <si>
    <t>1枚：約11時間</t>
  </si>
  <si>
    <t>検証デーダーなし</t>
  </si>
  <si>
    <t>1枚：約9.5時間</t>
  </si>
  <si>
    <t>1枚：約20時間
2枚：約11時間</t>
  </si>
  <si>
    <t>充電時間
（Solarsaga80）</t>
  </si>
  <si>
    <t>1枚：約2.5時間</t>
  </si>
  <si>
    <t>1枚：約5時間</t>
  </si>
  <si>
    <t>1枚：約4時間</t>
  </si>
  <si>
    <t>1枚：約6.3時間</t>
  </si>
  <si>
    <t>1枚：約7時間</t>
  </si>
  <si>
    <t>1枚：約11時間
2枚：約5.5時間</t>
  </si>
  <si>
    <t>1枚：約12時間</t>
  </si>
  <si>
    <t>1枚：約17時間
2枚：約9時間</t>
  </si>
  <si>
    <t>1枚：約17時間
2枚：約9時間
4枚：約4.8時間</t>
  </si>
  <si>
    <t>1枚：約22時間
2枚：約11時間
3枚：約8時間
4枚：約6時間
6枚：約4時間
8枚：約7時間
12枚：約2時間</t>
  </si>
  <si>
    <t>1枚：約25時間
2枚：約13時間
4枚：約7時間</t>
  </si>
  <si>
    <t>1枚：約25時間
2枚：約14時間
4枚：約7時間</t>
  </si>
  <si>
    <t>1枚：約36時間
2枚：約18時間
3枚：約12.5時間
4枚：約10時間
6枚：約6時間</t>
  </si>
  <si>
    <t>1枚：約35時間
2枚：約18時間
3枚：約12時間
4枚：約9時間
6枚：約6時間</t>
  </si>
  <si>
    <t>1枚：約50時間
2枚：約27時間
3枚：約18時間
4枚：約13時間
6枚：約9時間
8枚：約7時間
10枚：約5.5時間
12枚：約4.5時間</t>
  </si>
  <si>
    <t>充電時間
（Solarsaga100）</t>
  </si>
  <si>
    <t>1枚：約2時間</t>
  </si>
  <si>
    <t>1枚：約3.3時間</t>
  </si>
  <si>
    <t>1枚：約4.5時間</t>
  </si>
  <si>
    <t>1枚：約4.6時間</t>
  </si>
  <si>
    <t>1枚：約6時間</t>
  </si>
  <si>
    <t>1枚：約8.5時間
2枚：約4.3時間</t>
  </si>
  <si>
    <t>1枚：約13時間</t>
  </si>
  <si>
    <t>1枚：約10.5時間</t>
  </si>
  <si>
    <t>1枚：約13.5時間
2枚：約10時間</t>
  </si>
  <si>
    <t>1枚：約13.5時間
2枚：約6.5時間
3枚：約5時間
4枚：約3時間</t>
  </si>
  <si>
    <t>1枚：約15時間
2枚：約8時間
3枚：約5.5時間
4枚：約4時間</t>
  </si>
  <si>
    <t>1枚：約18時間
2枚：約9時間
3枚：約6時間
4枚：約4.5時間</t>
  </si>
  <si>
    <t>1枚：約19時間
2枚：約11時間
4枚：約5時間</t>
  </si>
  <si>
    <t>1枚：約22時間
2枚：約12時間
3枚：約8時間
4枚：約5.5時間
6枚：約4時間</t>
  </si>
  <si>
    <t>1枚：約28時間
2枚：約14時間
３枚：約10時間
４枚：約7時間
６枚：約5時間</t>
  </si>
  <si>
    <t>1枚：約29時間
2枚：約15時間
3枚：約11時間
4枚：約7.5時間
6枚：約6時間</t>
  </si>
  <si>
    <t>1枚：約23時間
2枚：約13時間
3枚：約9.5時間
4枚：約7時間
6枚：約5.5時間</t>
  </si>
  <si>
    <t>1枚：約44時間
2枚：約24時間
３枚：約15時間
４枚：約11時間
６枚：約7.5時間</t>
  </si>
  <si>
    <t>充電時間
（Solarsaga200）</t>
  </si>
  <si>
    <t>1枚：約3.8時間</t>
  </si>
  <si>
    <t>1枚：約4.3時間
2枚：約3.5時間</t>
  </si>
  <si>
    <t>-</t>
  </si>
  <si>
    <t>1枚：約6.5時間
2枚：約3.2時間
3枚：約2.2時間
4枚：約1.8時間</t>
  </si>
  <si>
    <t>1枚：約7.5時間
2枚：約3.8時間</t>
  </si>
  <si>
    <t>1枚：約9時間
2枚：約4.5時間
3枚：約3時間
4枚：約2時間</t>
  </si>
  <si>
    <t>S</t>
  </si>
  <si>
    <t>1枚：約10時間
2枚：約5時間
3枚：約3.5時間
4枚：約2.5時間
6枚：約1.8時間</t>
  </si>
  <si>
    <t>1枚：約12時間
2枚：約7.5時間
３枚：約5時間
４枚：約4時間
６枚：約2.5時間</t>
  </si>
  <si>
    <t>1枚：約15時間
2枚：約7.5時間
３枚：約6時間
</t>
  </si>
  <si>
    <t>1枚：約14時間
2枚：約7時間
３枚：約4.8時間
４枚：約3.8時間
６枚：約2時間</t>
  </si>
  <si>
    <t>1枚：約20時間
2枚：約10時間
３枚：約7時間
４枚：約5時間
６枚：約3.5時間</t>
  </si>
  <si>
    <t>付属品</t>
  </si>
  <si>
    <t>1*DC8020⇒USB-Cアダプター
1*USB-C充電ケーブル
1*取扱説明書＆保証書</t>
  </si>
  <si>
    <t>1*AC充電ケーブル 
1*取扱説明書
1*保証案内書</t>
  </si>
  <si>
    <t>1*ACアダプター
1*AC充電ケーブル（1.2m） 
1*車載用充電シガーソケット
（旧型：1.2m、新型：2m） 
1*収納ポーチ 
1*取扱説明書＆保証書</t>
  </si>
  <si>
    <t>1*AC充電ケーブル 
1*DC7909⇒USB-Cコネクタ
1*取扱説明書
1*保証案内書</t>
  </si>
  <si>
    <t xml:space="preserve"> 1*AC充電ケーブル
1*取扱説明書
 1*保証案内書</t>
  </si>
  <si>
    <t>1*ACアダプター
1*AC充電ケーブル（1.2m） 
1*車載用充電シガーソケット
（旧型：1.2m、新型：2m）
 1*収納ポーチ 
1*取扱説明書＆保証書</t>
  </si>
  <si>
    <t>1*ポータブル電源本体
1*AC充電ケーブル（2m）
1*車載用充電シガーソケット
2*トランスジャック
 1*取扱説明書 1*保証書
1*収納ポーチ</t>
  </si>
  <si>
    <t>1*ポータブル電源本体
 1*AC充電ケーブル
1*取扱説明書
1*保証書</t>
  </si>
  <si>
    <t>1*ポータブル電源本体
 1*AC充電ケーブル
 1*車載用充電シガーソケット
1*トランスジャック（DC7909-DC8020）
1*取扱説明書
1*収納ポーチ</t>
  </si>
  <si>
    <t>1*ポータブル電源本体 
1*ACアダプター
2*Solarsaga直列アダプター
 1*車載用充電シガーソケット
（旧型：1.2m、新型：2m） 
1*収納ポーチ
 1*取扱説明書（保証書）
1*トランスジャック</t>
  </si>
  <si>
    <t>1*ポータブル電源本体
 1*AC充電ケーブル
 1*車載用充電シガーソケット
（旧型：1.2m、新型：2m）
2*トランスジャック（DC7909-DC8020）
 1*取扱説明書 1*保証書
1*収納ポーチ</t>
  </si>
  <si>
    <t>1*ポータブル電源本体
 1*AC充電ケーブル（2m）
 1*車載用充電シガーソケット
（旧型：1.2m、新型：2m）
 1*取扱説明書 1*保証書</t>
  </si>
  <si>
    <t>1*ポータブル電源本体
 1*AC充電ケーブル（2m）
 1*取扱説明書 
1*保証案内書</t>
  </si>
  <si>
    <t>1*ポータブル電源本体
 1*AC充電ケーブル（2m）
 1*車載用充電シガーソケット
2*トランスジャック（DC7909-DC8020）
 1*取扱説明書 
1*保証案内書
1*収納ポーチ</t>
  </si>
  <si>
    <t>1*ポータブル電源本体
 1*AC充電ケーブル
 1*車載用充電シガーソケット
2*トランスジャック（DC7909-DC8020）
1*取扱説明書</t>
  </si>
  <si>
    <t>冷却ファンの音基準</t>
  </si>
  <si>
    <t>≤45dB</t>
  </si>
  <si>
    <t>≤55dB</t>
  </si>
  <si>
    <t>≤30dB</t>
  </si>
  <si>
    <t>≤46dB</t>
  </si>
  <si>
    <t>≤22dB</t>
  </si>
  <si>
    <t>≤53dB</t>
  </si>
  <si>
    <t>ソラパ充電なら≦40db
2000Plus搭載で充電なら噪音がない</t>
  </si>
  <si>
    <t xml:space="preserve"> ≤30dB</t>
  </si>
  <si>
    <t>2つのDC入力ポートは並列か直列か</t>
  </si>
  <si>
    <t>DC入力ポートは一つのみ</t>
  </si>
  <si>
    <t>並列</t>
  </si>
  <si>
    <t>直列</t>
  </si>
  <si>
    <t>ソーラーパネルとシガーソケットは同時に充電可能か</t>
  </si>
  <si>
    <t>不可</t>
  </si>
  <si>
    <t>可能</t>
  </si>
  <si>
    <t>２本のシガーソケットで同時充電可能か</t>
  </si>
  <si>
    <t>定义</t>
  </si>
  <si>
    <t>产品名</t>
  </si>
  <si>
    <t>产品型号</t>
  </si>
  <si>
    <t>电池容量</t>
  </si>
  <si>
    <t>电池可循环次数（寿命）</t>
  </si>
  <si>
    <t>产品输出电流类型</t>
  </si>
  <si>
    <t>产品尺寸(cm)
(W)长×(D)宽×(H)高</t>
  </si>
  <si>
    <t>产品重量</t>
  </si>
  <si>
    <t>直流输入规格（太阳能发电输入规格）</t>
  </si>
  <si>
    <t>产品使用太阳能板进行充电的输入端口</t>
  </si>
  <si>
    <t>产品使用太阳能板进行充电的输入端口数</t>
  </si>
  <si>
    <t>直流输入规格（车充输入规格）</t>
  </si>
  <si>
    <t>产品使用汽车车充口进行充电的输入端口</t>
  </si>
  <si>
    <t>产品使用汽车车充口进行充电的输入端口数</t>
  </si>
  <si>
    <t>产品交流输入规格</t>
  </si>
  <si>
    <t>产品交流输入所需最低功率</t>
  </si>
  <si>
    <t>产品车充口输出端口规格</t>
  </si>
  <si>
    <t>产品车充口输出端口数</t>
  </si>
  <si>
    <t>产品交流输出规格</t>
  </si>
  <si>
    <t>产品最大瞬间放电功率</t>
  </si>
  <si>
    <t>产品交流输出端口数</t>
  </si>
  <si>
    <t>产品USB端口数</t>
  </si>
  <si>
    <t>产品USB-A端口输出规格</t>
  </si>
  <si>
    <t>产品通过USB-C端口输入的规格</t>
  </si>
  <si>
    <t>产品USB-C端口输出规格</t>
  </si>
  <si>
    <t>产品可充电环境温度范围</t>
  </si>
  <si>
    <t>产品可工作温度范围</t>
  </si>
  <si>
    <t>产品可保存温度范围</t>
  </si>
  <si>
    <t>产品外壳材质</t>
  </si>
  <si>
    <t>产品交流充电所需时间</t>
  </si>
  <si>
    <t>产品通过汽车车充口充电所需时间</t>
  </si>
  <si>
    <t>产品使用太阳能板Solarsaga40充电所需时间</t>
  </si>
  <si>
    <t>产品使用太阳能板Solarsaga80充电所需时间</t>
  </si>
  <si>
    <t>产品使用太阳能板Solarsaga100充电所需时间</t>
  </si>
  <si>
    <t>产品使用太阳能板Solarsaga200充电所需时间</t>
  </si>
  <si>
    <t>产品配件</t>
  </si>
  <si>
    <t>产品散热风扇的噪音分贝</t>
  </si>
  <si>
    <t>产品的两个DC输入口是并联还是串联</t>
  </si>
  <si>
    <t>产品是否能使用太阳能板和车充同时充电</t>
  </si>
  <si>
    <t>产品是否能使用2根车充线同时充电</t>
  </si>
  <si>
    <t>Jackery SolarSaga 40mini</t>
  </si>
  <si>
    <t>Jackery SolarSaga 60</t>
  </si>
  <si>
    <t>Jackery SolarSaga 80</t>
  </si>
  <si>
    <t>Jackery SolarSaga 100S</t>
  </si>
  <si>
    <t>Jackery SolarSaga 100</t>
  </si>
  <si>
    <t>Jackery SolarSaga 100MINI</t>
  </si>
  <si>
    <t>Jackery SolarSaga 200</t>
  </si>
  <si>
    <t>JS-40A</t>
  </si>
  <si>
    <t>SPL061</t>
  </si>
  <si>
    <t>JS-80A</t>
  </si>
  <si>
    <t>SPLS101</t>
  </si>
  <si>
    <t>JS-100C</t>
  </si>
  <si>
    <t>JS-100F</t>
  </si>
  <si>
    <t>JS-100D</t>
  </si>
  <si>
    <t>JS-200D</t>
  </si>
  <si>
    <t>JS-200C</t>
  </si>
  <si>
    <t>折り畳み式</t>
  </si>
  <si>
    <t>四片式</t>
  </si>
  <si>
    <t>二片式</t>
  </si>
  <si>
    <t>一片式</t>
  </si>
  <si>
    <t>二折</t>
  </si>
  <si>
    <t>4つ折り</t>
  </si>
  <si>
    <t>10％オフ価格(税込)</t>
  </si>
  <si>
    <t>20％オフ価格(税込)</t>
  </si>
  <si>
    <t>収納サイズ(縦×横×高さ)</t>
  </si>
  <si>
    <t>252＊300＊20mm</t>
  </si>
  <si>
    <t>29*40.5*1.5mm</t>
  </si>
  <si>
    <t>折り畳みできない</t>
  </si>
  <si>
    <t>540*360*38mm</t>
  </si>
  <si>
    <t>610x535x35mm</t>
  </si>
  <si>
    <t>610*552*35mm</t>
  </si>
  <si>
    <t>425 x 422 x 55 mm</t>
  </si>
  <si>
    <t>615 × 552 × 40 mm</t>
  </si>
  <si>
    <t>540*615*40mm</t>
  </si>
  <si>
    <t>展開サイズ(縦×横×高さ)</t>
  </si>
  <si>
    <t>970＊300＊2.5mm</t>
  </si>
  <si>
    <t>86.5*40.5*0.5mm</t>
  </si>
  <si>
    <t>528*906*27mm</t>
  </si>
  <si>
    <t>1310*540*25mm</t>
  </si>
  <si>
    <t>1220x535xx20mm</t>
  </si>
  <si>
    <t>1220*552*20mm</t>
  </si>
  <si>
    <t>1675 x 420 x 22 mm</t>
  </si>
  <si>
    <t>2340 × 552 × 25 mm</t>
  </si>
  <si>
    <t>2320*540**25mm</t>
  </si>
  <si>
    <t>出力端子サイズ</t>
  </si>
  <si>
    <t>DC8020 to USB-C</t>
  </si>
  <si>
    <t>DC7909 to DC8020</t>
  </si>
  <si>
    <t>DC8020 to DC7909</t>
  </si>
  <si>
    <t>ケーブル長さ</t>
  </si>
  <si>
    <t>3m</t>
  </si>
  <si>
    <t>3ｍ</t>
  </si>
  <si>
    <t>３m</t>
  </si>
  <si>
    <t>約1.2kg</t>
  </si>
  <si>
    <t>約2.76㎏</t>
  </si>
  <si>
    <t>約5.1kg</t>
  </si>
  <si>
    <t>4.3KG±0.2KG</t>
  </si>
  <si>
    <t>約4kg</t>
  </si>
  <si>
    <t>3.6kg±0.3kg</t>
  </si>
  <si>
    <t>約3.3kg</t>
  </si>
  <si>
    <t>約6.2KG</t>
  </si>
  <si>
    <t xml:space="preserve">約6.2 kg </t>
  </si>
  <si>
    <t>最大発電力</t>
  </si>
  <si>
    <t>40W±5%</t>
  </si>
  <si>
    <t>68w</t>
  </si>
  <si>
    <t>80W</t>
  </si>
  <si>
    <t>100W</t>
  </si>
  <si>
    <t>200Ｗ</t>
  </si>
  <si>
    <t>200W</t>
  </si>
  <si>
    <t>交換効率</t>
  </si>
  <si>
    <t>22.5%-24.33%</t>
  </si>
  <si>
    <t>22%-23%</t>
  </si>
  <si>
    <t>23.7%~24%</t>
  </si>
  <si>
    <t>23.7~24%</t>
  </si>
  <si>
    <t>25％</t>
  </si>
  <si>
    <t>定格電圧</t>
  </si>
  <si>
    <t>19V±5V</t>
  </si>
  <si>
    <t>22V</t>
  </si>
  <si>
    <t>19V</t>
  </si>
  <si>
    <t>20V</t>
  </si>
  <si>
    <t>20V±5V</t>
  </si>
  <si>
    <t>30±5V</t>
  </si>
  <si>
    <t>定格電流</t>
  </si>
  <si>
    <t>2.1A±5A</t>
  </si>
  <si>
    <t>3.09A</t>
  </si>
  <si>
    <t>3.64A</t>
  </si>
  <si>
    <t>5.27A</t>
  </si>
  <si>
    <t>5A</t>
  </si>
  <si>
    <t>5A±5A</t>
  </si>
  <si>
    <t>10A</t>
  </si>
  <si>
    <t>11.12A</t>
  </si>
  <si>
    <t>開放電圧</t>
  </si>
  <si>
    <t>24V±5V</t>
  </si>
  <si>
    <t>26.4V</t>
  </si>
  <si>
    <t>28.5V</t>
  </si>
  <si>
    <t>24.4V</t>
  </si>
  <si>
    <t>24.8V</t>
  </si>
  <si>
    <t>24.8±5V</t>
  </si>
  <si>
    <t>23.2V</t>
  </si>
  <si>
    <t>USBポートなし</t>
  </si>
  <si>
    <t>5V-2.4A</t>
  </si>
  <si>
    <t>USB-C出力</t>
  </si>
  <si>
    <t>5V/3A</t>
  </si>
  <si>
    <t>5V-3A</t>
  </si>
  <si>
    <t>-20～65℃</t>
  </si>
  <si>
    <t>-10～65℃</t>
  </si>
  <si>
    <t>-10-65℃</t>
  </si>
  <si>
    <t>-20~65℃</t>
  </si>
  <si>
    <t>発電量目安(夏の快晴時）</t>
  </si>
  <si>
    <t>24w以上</t>
  </si>
  <si>
    <t>36～40w以上</t>
  </si>
  <si>
    <t>平均70ｗ</t>
  </si>
  <si>
    <t>60ｗ以上</t>
  </si>
  <si>
    <t>140w以上</t>
  </si>
  <si>
    <t xml:space="preserve">３ｍ出力ケーブル*1 
取扱説明書*1 
トランスジャック*1 </t>
  </si>
  <si>
    <t>取扱説明書*1
収納バッグ*1
保証書*1
2M延長ケーブル*1</t>
  </si>
  <si>
    <t>ソーラーパネル*1
3M出力ケーブル*1
収納バック*1
取扱説明書*1保証書*1
スタンド*1
固定ベルト*1
トランスジャック*1（1500へ充電する時に使用する）
※スタンド・固定ベルトは本体取り付けとなっております。</t>
  </si>
  <si>
    <t>収納バッグ*1
取扱説明書*1
保証書*1
3M接続ケーブル*1
トランスジャック*1</t>
  </si>
  <si>
    <t>DC8020-DC7909アダプター</t>
  </si>
  <si>
    <t>取扱説明書*1
保証書*1
3M接続ケーブル*1</t>
  </si>
  <si>
    <t>取扱説明書*1
保証書*1
3M接続ケーブル*1
トランスジャック*1</t>
  </si>
  <si>
    <t>用途</t>
  </si>
  <si>
    <t>Jackery SolarSaga 5M延長ケーブル</t>
  </si>
  <si>
    <t>延長接続用</t>
  </si>
  <si>
    <t>Jackery SolarSaga 10M延長ケーブル</t>
  </si>
  <si>
    <t>Jackery SolarSaga アダプター</t>
  </si>
  <si>
    <t>接続可能のソーラーパネル枚数を増やす。Jackery ポータブル電源Pro/Plus/Newシリーズに対応可能（240New、300Plus、100Plus除外）。同じワット数のソーラーパネルを接続必須。</t>
  </si>
  <si>
    <t>Jackery 12V 自動車用バッテリー充電ケーブル</t>
  </si>
  <si>
    <t>自動車バッテリーを充電を行う際に使用します。自動車ジャンプスターターの機能は搭載しておりません。40〜60Ahバッテリーでは15〜20分、60〜100Ahバッテリーでは30〜40分で完全に充電された後、自動車が起動します。</t>
  </si>
  <si>
    <t>Jackery 車載シガーソケット充電ケーブル</t>
  </si>
  <si>
    <t>Jackeryポータブル電源を車のシガーソケットで充電できるケーブルです。</t>
  </si>
  <si>
    <t>Jackery アダプター DC7909-DC8020</t>
  </si>
  <si>
    <t>Jackeryポータブル電源2000Plus/1000Plus/3000Pro/2000Pro/1500Pro/1000Pro/1500/600PlusをJackeryのソーラーパネルおよび車のシガーソケットに接続する際に使用するコネクタです</t>
  </si>
  <si>
    <t>Jackery アダプター DC8020 - DC7909</t>
  </si>
  <si>
    <t>Jackeryポータブル電源240/400/708/1000をJackeryのソーラーパネルおよび車のシガーソケットに接続する際に使用するコネクタです。</t>
  </si>
  <si>
    <t>Jackery アダプター DC8020 - USB-C</t>
  </si>
  <si>
    <t>JackeryのSolarSaga100を使ってJackeryポータブル電源100Plus/240Plus/300Plusを充電する際に使用するアダプタです。</t>
  </si>
  <si>
    <t>点検・メンテナンス費用</t>
  </si>
  <si>
    <t>作業内容</t>
  </si>
  <si>
    <t>料金（税別）</t>
  </si>
  <si>
    <t>基礎費用</t>
  </si>
  <si>
    <t>修理費用</t>
  </si>
  <si>
    <t>合計自動計算</t>
  </si>
  <si>
    <t>分解掃除・点検</t>
  </si>
  <si>
    <t>現象</t>
  </si>
  <si>
    <t>修理必要と予想される箇所</t>
  </si>
  <si>
    <t>20００Ｗｈ</t>
  </si>
  <si>
    <t>１５００Ｗｈ</t>
  </si>
  <si>
    <t>１０００Wｈ</t>
  </si>
  <si>
    <t>７０８Wｈ</t>
  </si>
  <si>
    <t>７００Wｈ</t>
  </si>
  <si>
    <t>４００Wｈ</t>
  </si>
  <si>
    <t>２４０Wｈ</t>
  </si>
  <si>
    <t>電源が入らない、電源が切れる、充電しない、制御基板の不良による故障</t>
  </si>
  <si>
    <t>メイン基板交換</t>
  </si>
  <si>
    <t>主板</t>
  </si>
  <si>
    <t>保護基板交換</t>
  </si>
  <si>
    <t>保护板</t>
  </si>
  <si>
    <t>AC出力しない、インバーター基板の不良による故障</t>
  </si>
  <si>
    <t>インバーター基板交換</t>
  </si>
  <si>
    <t>逆变器</t>
  </si>
  <si>
    <t>ディスプレイ不良</t>
  </si>
  <si>
    <t>ディスプレイ</t>
  </si>
  <si>
    <t>显示器</t>
  </si>
  <si>
    <t>USB出力しない、USB基板の不良による故障</t>
  </si>
  <si>
    <t>USB基板</t>
  </si>
  <si>
    <t>本体ケース（外殻交換）</t>
  </si>
  <si>
    <t>外壳</t>
  </si>
  <si>
    <t>その他不具合</t>
  </si>
  <si>
    <t>お問い合わせください</t>
  </si>
  <si>
    <t>3000Pro</t>
  </si>
  <si>
    <t>2000Plus</t>
  </si>
  <si>
    <t>2000Plus
バッグ</t>
  </si>
  <si>
    <t>2000Pro</t>
  </si>
  <si>
    <t>1500Pro</t>
  </si>
  <si>
    <t>1000Plus</t>
  </si>
  <si>
    <t>1000Plus
バッグ</t>
  </si>
  <si>
    <t>1000Pro</t>
  </si>
  <si>
    <t>300Plus</t>
  </si>
  <si>
    <t>電源が入らない、電源が切れる、充電しない、USB出力しない、ディスプレイ不良、制御基板の不良による故障、フル充電不可</t>
  </si>
  <si>
    <t>\40,900</t>
  </si>
  <si>
    <t>\39,900</t>
  </si>
  <si>
    <t>\20,900</t>
  </si>
  <si>
    <t>\5,900</t>
  </si>
  <si>
    <t>\31,900</t>
  </si>
  <si>
    <t>\10,900</t>
  </si>
  <si>
    <t>\27,900</t>
  </si>
  <si>
    <t>\13,900</t>
  </si>
  <si>
    <t>\7,590</t>
  </si>
  <si>
    <t>\53,900</t>
  </si>
  <si>
    <t>\33,900</t>
  </si>
  <si>
    <t>\9,490</t>
  </si>
  <si>
    <t>ソーラーパネルからの充電できない、DCからの充電できない</t>
  </si>
  <si>
    <t>DC充電基板</t>
  </si>
  <si>
    <t>取っ手の破損</t>
  </si>
  <si>
    <t>本体ケース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</si>
</sst>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¥#,##0;[Red]\(\¥#,##0\)"/>
    <numFmt numFmtId="165" formatCode="&quot;\0022\\\0022\#,\#\#0\;[Red]\\(\0022\\\0022\#,\#\#0\\)&quot;"/>
    <numFmt numFmtId="166" formatCode="\¥0"/>
    <numFmt numFmtId="167" formatCode="&quot;\&quot;#,##0;[Red]\(&quot;\&quot;#,##0\)"/>
  </numFmts>
  <fonts count="14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0"/>
      <color rgb="FF000000"/>
      <name val="Microsoft YaHei"/>
    </font>
    <font>
      <b/>
      <sz val="10"/>
      <color rgb="FF000000"/>
      <name val="Microsoft YaHei"/>
    </font>
    <font>
      <b/>
      <sz val="10"/>
      <color rgb="FFEA3324"/>
      <name val="Microsoft YaHei"/>
    </font>
    <font>
      <b/>
      <sz val="10"/>
      <color rgb="FFEA3324"/>
      <name val="等线"/>
    </font>
    <font>
      <sz val="10"/>
      <color rgb="FFFE0300"/>
      <name val="Microsoft YaHei"/>
    </font>
    <font>
      <sz val="9"/>
      <color rgb="FF000000"/>
      <name val="Microsoft YaHei"/>
    </font>
    <font>
      <sz val="11"/>
      <color rgb="FF000000"/>
      <name val="等线"/>
    </font>
    <font>
      <sz val="12"/>
      <color rgb="FF000000"/>
      <name val="Arial"/>
    </font>
    <font>
      <sz val="10"/>
    </font>
    <font>
      <sz val="11"/>
      <color rgb="FF000000"/>
      <name val="Arial"/>
    </font>
    <font>
      <sz val="10"/>
      <color rgb="FF000000"/>
      <name val="Calibri"/>
    </font>
    <font>
      <sz val="11"/>
      <color rgb="FF000000"/>
      <name val="宋体"/>
    </font>
    <font>
      <sz val="11"/>
      <color rgb="FF000000"/>
      <name val="Microsoft YaHei"/>
    </font>
    <font>
      <sz val="11"/>
      <color rgb="FF434343"/>
      <name val="Arial"/>
    </font>
    <font>
      <sz val="11"/>
      <color rgb="FFEA3324"/>
      <name val="Arial"/>
    </font>
    <font>
      <sz val="12"/>
      <color rgb="FF000000"/>
      <name val="Microsoft YaHei"/>
    </font>
    <font>
      <b/>
      <sz val="14"/>
      <color rgb="FF000000"/>
      <name val="Microsoft YaHei"/>
    </font>
    <font>
      <sz val="11"/>
      <color rgb="FF000000"/>
      <name val="微软雅黑"/>
    </font>
    <font>
      <u/>
      <sz val="10"/>
      <color rgb="FF0563C1"/>
      <name val="Microsoft YaHei"/>
    </font>
    <font>
      <sz val="12"/>
      <color rgb="FF000000"/>
      <name val="等线"/>
    </font>
    <font>
      <b/>
      <sz val="14"/>
      <color rgb="FF000000"/>
      <name val="Microsoft YaHei"/>
    </font>
    <font>
      <b/>
      <sz val="14"/>
      <color rgb="FF000000"/>
      <name val="Microsoft YaHe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0"/>
      <color rgb="FF000000"/>
      <name val="Microsoft YaHe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Microsoft YaHei"/>
    </font>
    <font>
      <sz val="11"/>
      <color rgb="FF000000"/>
      <name val="Microsoft YaHei"/>
    </font>
    <font>
      <sz val="11"/>
      <color rgb="FF000000"/>
      <name val="Microsoft YaHe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Microsoft YaHei"/>
    </font>
    <font>
      <sz val="11"/>
      <color rgb="FF000000"/>
      <name val="Microsoft YaHe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Microsoft YaHe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Microsoft YaHe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0"/>
      <color rgb="FF000000"/>
      <name val="Microsoft YaHei"/>
    </font>
    <font>
      <sz val="10"/>
      <color rgb="FF000000"/>
      <name val="Microsoft YaHe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Microsoft YaHei"/>
    </font>
    <font>
      <sz val="11"/>
      <color rgb="FF000000"/>
      <name val="Microsoft YaHei"/>
    </font>
    <font>
      <sz val="11"/>
      <color rgb="FF000000"/>
      <name val="Microsoft YaHe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0"/>
      <color rgb="FF000000"/>
      <name val="Microsoft YaHei"/>
    </font>
    <font>
      <sz val="10"/>
      <color rgb="FF000000"/>
      <name val="Microsoft YaHe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Microsoft YaHei"/>
    </font>
    <font>
      <sz val="11"/>
      <color rgb="FF000000"/>
      <name val="Microsoft YaHei"/>
    </font>
    <font>
      <sz val="11"/>
      <color rgb="FF000000"/>
      <name val="Microsoft YaHei"/>
    </font>
    <font>
      <sz val="11"/>
      <color rgb="FF000000"/>
      <name val="Arial"/>
    </font>
    <font>
      <sz val="10"/>
      <color rgb="FF000000"/>
      <name val="Microsoft YaHei"/>
    </font>
    <font>
      <sz val="11"/>
      <color rgb="FF000000"/>
      <name val="Arial"/>
    </font>
    <font>
      <sz val="10"/>
      <color rgb="FF000000"/>
      <name val="Microsoft YaHe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0"/>
      <color rgb="FF000000"/>
      <name val="Microsoft YaHei"/>
    </font>
    <font>
      <sz val="10"/>
      <color rgb="FF000000"/>
      <name val="Microsoft YaHe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Microsoft YaHei"/>
    </font>
    <font>
      <sz val="11"/>
      <color rgb="FF000000"/>
      <name val="Microsoft YaHei"/>
    </font>
    <font>
      <sz val="11"/>
      <color rgb="FF000000"/>
      <name val="Microsoft YaHei"/>
    </font>
    <font>
      <sz val="11"/>
      <color rgb="FF000000"/>
      <name val="Microsoft YaHei"/>
    </font>
    <font>
      <sz val="11"/>
      <color rgb="FF000000"/>
      <name val="Arial"/>
    </font>
    <font>
      <sz val="10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0"/>
      <color rgb="FF000000"/>
      <name val="Microsoft YaHei"/>
    </font>
    <font>
      <sz val="10"/>
      <color rgb="FF000000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2C150"/>
      </patternFill>
    </fill>
    <fill>
      <patternFill patternType="solid">
        <fgColor rgb="FF92D04F"/>
      </patternFill>
    </fill>
    <fill>
      <patternFill patternType="solid">
        <fgColor rgb="FFA9D08D"/>
      </patternFill>
    </fill>
    <fill>
      <patternFill patternType="solid">
        <fgColor rgb="FFFCC102"/>
      </patternFill>
    </fill>
    <fill>
      <patternFill patternType="solid">
        <fgColor rgb="FFCFCECF"/>
      </patternFill>
    </fill>
  </fills>
  <borders count="4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ck">
        <color rgb="FF000000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5A5A5A"/>
      </left>
      <right style="thin">
        <color rgb="FFE6E6E6"/>
      </right>
      <top style="thin">
        <color rgb="FF5A5A5A"/>
      </top>
      <bottom/>
      <diagonal/>
    </border>
    <border>
      <left style="thin">
        <color rgb="FFE6E6E6"/>
      </left>
      <right/>
      <top style="thin">
        <color rgb="FF5A5A5A"/>
      </top>
      <bottom/>
      <diagonal/>
    </border>
    <border>
      <left/>
      <right style="thin">
        <color rgb="FFE6E6E6"/>
      </right>
      <top style="thin">
        <color rgb="FF5A5A5A"/>
      </top>
      <bottom/>
      <diagonal/>
    </border>
    <border>
      <left style="thin">
        <color rgb="FFE6E6E6"/>
      </left>
      <right style="thin">
        <color rgb="FFE6E6E6"/>
      </right>
      <top style="thin">
        <color rgb="FF5A5A5A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E6E6E6"/>
      </left>
      <right style="thin">
        <color rgb="FF5A5A5A"/>
      </right>
      <top style="thin">
        <color rgb="FF5A5A5A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1" xfId="0" applyFont="1" applyBorder="1" applyProtection="1">
      <alignment horizontal="general" vertical="center"/>
    </xf>
    <xf numFmtId="0" fontId="6" fillId="0" borderId="2" xfId="0" applyFont="1" applyBorder="1" applyProtection="1">
      <alignment horizontal="general" vertical="center"/>
    </xf>
    <xf numFmtId="0" fontId="5" fillId="0" borderId="2" xfId="0" applyFont="1" applyBorder="1" applyProtection="1">
      <alignment horizontal="general" vertical="center"/>
    </xf>
    <xf numFmtId="0" fontId="5" fillId="0" borderId="3" xfId="0" applyFont="1" applyBorder="1" applyProtection="1">
      <alignment horizontal="center" vertical="center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general" vertical="center"/>
    </xf>
    <xf numFmtId="0" fontId="5" fillId="0" borderId="6" xfId="0" applyFont="1" applyBorder="1" applyProtection="1">
      <alignment horizontal="center" vertical="center"/>
    </xf>
    <xf numFmtId="164" fontId="5" fillId="2" borderId="7" xfId="0" applyNumberFormat="1" applyFont="1" applyFill="1" applyBorder="1" applyProtection="1">
      <alignment horizontal="center" vertical="center"/>
    </xf>
    <xf numFmtId="0" fontId="5" fillId="3" borderId="6" xfId="0" applyFont="1" applyFill="1" applyBorder="1" applyProtection="1">
      <alignment horizontal="center" vertical="center"/>
    </xf>
    <xf numFmtId="0" fontId="5" fillId="3" borderId="8" xfId="0" applyFont="1" applyFill="1" applyBorder="1" applyProtection="1">
      <alignment horizontal="center" vertical="center"/>
    </xf>
    <xf numFmtId="0" fontId="5" fillId="3" borderId="4" xfId="0" applyFont="1" applyFill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5" fillId="3" borderId="9" xfId="0" applyFont="1" applyFill="1" applyBorder="1" applyProtection="1">
      <alignment horizontal="center" vertical="center"/>
    </xf>
    <xf numFmtId="0" fontId="5" fillId="0" borderId="3" xfId="0" applyFont="1" applyBorder="1" applyProtection="1">
      <alignment horizontal="center" vertical="center" wrapText="1"/>
    </xf>
    <xf numFmtId="0" fontId="5" fillId="0" borderId="9" xfId="0" applyFont="1" applyBorder="1" applyProtection="1">
      <alignment horizontal="center" vertical="center"/>
    </xf>
    <xf numFmtId="0" fontId="5" fillId="0" borderId="10" xfId="0" applyFont="1" applyBorder="1" applyProtection="1">
      <alignment horizontal="center" vertical="center"/>
    </xf>
    <xf numFmtId="164" fontId="5" fillId="2" borderId="9" xfId="0" applyNumberFormat="1" applyFont="1" applyFill="1" applyBorder="1" applyProtection="1">
      <alignment horizontal="right" vertical="center"/>
    </xf>
    <xf numFmtId="0" fontId="5" fillId="3" borderId="3" xfId="0" applyFont="1" applyFill="1" applyBorder="1" applyProtection="1">
      <alignment horizontal="center" vertical="center" wrapText="1"/>
    </xf>
    <xf numFmtId="0" fontId="5" fillId="0" borderId="11" xfId="0" applyFont="1" applyBorder="1" applyProtection="1">
      <alignment horizontal="center" vertical="center"/>
    </xf>
    <xf numFmtId="0" fontId="5" fillId="3" borderId="3" xfId="0" applyFont="1" applyFill="1" applyBorder="1" applyProtection="1">
      <alignment horizontal="center" vertical="center"/>
    </xf>
    <xf numFmtId="164" fontId="5" fillId="3" borderId="4" xfId="0" applyNumberFormat="1" applyFont="1" applyFill="1" applyBorder="1" applyProtection="1">
      <alignment horizontal="center" vertical="center"/>
    </xf>
    <xf numFmtId="0" fontId="5" fillId="2" borderId="3" xfId="0" applyFont="1" applyFill="1" applyBorder="1" applyProtection="1">
      <alignment horizontal="center" vertical="center"/>
    </xf>
    <xf numFmtId="0" fontId="5" fillId="2" borderId="9" xfId="0" applyFont="1" applyFill="1" applyBorder="1" applyProtection="1">
      <alignment horizontal="center" vertical="center"/>
    </xf>
    <xf numFmtId="0" fontId="5" fillId="0" borderId="7" xfId="0" applyFont="1" applyBorder="1" applyProtection="1">
      <alignment horizontal="center" vertical="center"/>
    </xf>
    <xf numFmtId="0" fontId="5" fillId="0" borderId="12" xfId="0" applyFont="1" applyBorder="1" applyProtection="1">
      <alignment horizontal="general" vertical="center"/>
    </xf>
    <xf numFmtId="0" fontId="6" fillId="2" borderId="13" xfId="0" applyFont="1" applyFill="1" applyBorder="1" applyProtection="1">
      <alignment horizontal="left" vertical="center" wrapText="1"/>
    </xf>
    <xf numFmtId="0" fontId="5" fillId="2" borderId="14" xfId="0" applyFont="1" applyFill="1" applyBorder="1" applyProtection="1">
      <alignment horizontal="center" vertical="center" wrapText="1"/>
    </xf>
    <xf numFmtId="0" fontId="7" fillId="2" borderId="10" xfId="0" applyFont="1" applyFill="1" applyBorder="1" applyProtection="1">
      <alignment horizontal="left" vertical="center" wrapText="1"/>
    </xf>
    <xf numFmtId="0" fontId="8" fillId="0" borderId="10" xfId="0" applyFont="1" applyBorder="1" applyProtection="1">
      <alignment horizontal="left" vertical="center"/>
    </xf>
    <xf numFmtId="0" fontId="5" fillId="2" borderId="15" xfId="0" applyFont="1" applyFill="1" applyBorder="1" applyProtection="1">
      <alignment horizontal="center" vertical="center" wrapText="1"/>
    </xf>
    <xf numFmtId="0" fontId="5" fillId="2" borderId="16" xfId="0" applyFont="1" applyFill="1" applyBorder="1" applyProtection="1">
      <alignment horizontal="center" vertical="center" wrapText="1"/>
    </xf>
    <xf numFmtId="0" fontId="5" fillId="2" borderId="10" xfId="0" applyFont="1" applyFill="1" applyBorder="1" applyProtection="1">
      <alignment horizontal="center" vertical="center" wrapText="1"/>
    </xf>
    <xf numFmtId="0" fontId="5" fillId="2" borderId="17" xfId="0" applyFont="1" applyFill="1" applyBorder="1" applyProtection="1">
      <alignment horizontal="center" vertical="center" wrapText="1"/>
    </xf>
    <xf numFmtId="0" fontId="5" fillId="0" borderId="18" xfId="0" applyFont="1" applyBorder="1" applyProtection="1">
      <alignment horizontal="general" vertical="center"/>
    </xf>
    <xf numFmtId="0" fontId="9" fillId="2" borderId="10" xfId="0" applyFont="1" applyFill="1" applyBorder="1" applyProtection="1">
      <alignment horizontal="center" vertical="center" wrapText="1"/>
    </xf>
    <xf numFmtId="0" fontId="5" fillId="2" borderId="10" xfId="0" applyFont="1" applyFill="1" applyBorder="1" applyProtection="1">
      <alignment horizontal="center" vertical="center" wrapText="1"/>
    </xf>
    <xf numFmtId="0" fontId="10" fillId="2" borderId="10" xfId="0" applyFont="1" applyFill="1" applyBorder="1" applyProtection="1">
      <alignment horizontal="left" vertical="center" wrapText="1"/>
    </xf>
    <xf numFmtId="165" fontId="5" fillId="2" borderId="10" xfId="0" applyNumberFormat="1" applyFont="1" applyFill="1" applyBorder="1" applyProtection="1">
      <alignment horizontal="center" vertical="center" wrapText="1"/>
    </xf>
    <xf numFmtId="166" fontId="5" fillId="2" borderId="19" xfId="0" applyNumberFormat="1" applyFont="1" applyFill="1" applyBorder="1" applyProtection="1">
      <alignment horizontal="center" vertical="center" wrapText="1"/>
    </xf>
    <xf numFmtId="166" fontId="5" fillId="0" borderId="0" xfId="0" applyNumberFormat="1" applyFont="1">
      <alignment horizontal="general" vertical="center"/>
    </xf>
    <xf numFmtId="165" fontId="5" fillId="2" borderId="20" xfId="0" applyNumberFormat="1" applyFont="1" applyFill="1" applyBorder="1" applyProtection="1">
      <alignment horizontal="center" vertical="center" wrapText="1"/>
    </xf>
    <xf numFmtId="166" fontId="5" fillId="2" borderId="10" xfId="0" applyNumberFormat="1" applyFont="1" applyFill="1" applyBorder="1" applyProtection="1">
      <alignment horizontal="center" vertical="center" wrapText="1"/>
    </xf>
    <xf numFmtId="0" fontId="10" fillId="4" borderId="10" xfId="0" applyFont="1" applyFill="1" applyBorder="1" applyProtection="1">
      <alignment horizontal="left" vertical="center" wrapText="1"/>
    </xf>
    <xf numFmtId="0" fontId="5" fillId="4" borderId="10" xfId="0" applyFont="1" applyFill="1" applyBorder="1" applyProtection="1">
      <alignment horizontal="center" vertical="center" wrapText="1"/>
    </xf>
    <xf numFmtId="167" fontId="5" fillId="4" borderId="10" xfId="0" applyNumberFormat="1" applyFont="1" applyFill="1" applyBorder="1" applyProtection="1">
      <alignment horizontal="center" vertical="center" wrapText="1"/>
    </xf>
    <xf numFmtId="166" fontId="5" fillId="4" borderId="10" xfId="0" applyNumberFormat="1" applyFont="1" applyFill="1" applyBorder="1" applyProtection="1">
      <alignment horizontal="center" vertical="center" wrapText="1"/>
    </xf>
    <xf numFmtId="0" fontId="10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21" xfId="0" applyFont="1" applyBorder="1" applyProtection="1">
      <alignment horizontal="center" vertical="center" wrapText="1"/>
    </xf>
    <xf numFmtId="0" fontId="5" fillId="0" borderId="22" xfId="0" applyFont="1" applyBorder="1" applyProtection="1">
      <alignment horizontal="center" vertical="center"/>
    </xf>
    <xf numFmtId="164" fontId="5" fillId="0" borderId="10" xfId="0" applyNumberFormat="1" applyFont="1" applyBorder="1" applyProtection="1">
      <alignment horizontal="center" vertical="center" wrapText="1"/>
    </xf>
    <xf numFmtId="164" fontId="5" fillId="0" borderId="10" xfId="0" applyNumberFormat="1" applyFont="1" applyBorder="1" applyProtection="1">
      <alignment horizontal="general" vertical="center"/>
    </xf>
    <xf numFmtId="0" fontId="5" fillId="0" borderId="23" xfId="0" applyFont="1" applyBorder="1" applyProtection="1">
      <alignment horizontal="general" vertical="center"/>
    </xf>
    <xf numFmtId="0" fontId="5" fillId="0" borderId="2" xfId="0" applyFont="1" applyBorder="1" applyProtection="1">
      <alignment horizontal="center" vertical="center"/>
    </xf>
    <xf numFmtId="164" fontId="5" fillId="2" borderId="4" xfId="0" applyNumberFormat="1" applyFont="1" applyFill="1" applyBorder="1" applyProtection="1">
      <alignment horizontal="center" vertical="center"/>
    </xf>
    <xf numFmtId="164" fontId="5" fillId="3" borderId="9" xfId="0" applyNumberFormat="1" applyFont="1" applyFill="1" applyBorder="1" applyProtection="1">
      <alignment horizontal="right" vertical="center"/>
    </xf>
    <xf numFmtId="164" fontId="5" fillId="0" borderId="9" xfId="0" applyNumberFormat="1" applyFont="1" applyBorder="1" applyProtection="1">
      <alignment horizontal="right" vertical="center"/>
    </xf>
    <xf numFmtId="164" fontId="5" fillId="0" borderId="4" xfId="0" applyNumberFormat="1" applyFont="1" applyBorder="1" applyProtection="1">
      <alignment horizontal="center" vertical="center"/>
    </xf>
    <xf numFmtId="0" fontId="5" fillId="2" borderId="4" xfId="0" applyFont="1" applyFill="1" applyBorder="1" applyProtection="1">
      <alignment horizontal="center" vertical="center"/>
    </xf>
    <xf numFmtId="164" fontId="5" fillId="2" borderId="24" xfId="0" applyNumberFormat="1" applyFont="1" applyFill="1" applyBorder="1" applyProtection="1">
      <alignment horizontal="center" vertical="center"/>
    </xf>
    <xf numFmtId="0" fontId="5" fillId="0" borderId="25" xfId="0" applyFont="1" applyBorder="1" applyProtection="1">
      <alignment horizontal="center" vertical="center"/>
    </xf>
    <xf numFmtId="0" fontId="5" fillId="0" borderId="26" xfId="0" applyFont="1" applyBorder="1" applyProtection="1">
      <alignment horizontal="general" vertical="center"/>
    </xf>
    <xf numFmtId="0" fontId="5" fillId="2" borderId="27" xfId="0" applyFont="1" applyFill="1" applyBorder="1" applyProtection="1">
      <alignment horizontal="center" vertical="center" wrapText="1"/>
    </xf>
    <xf numFmtId="0" fontId="5" fillId="0" borderId="18" xfId="0" applyFont="1" applyBorder="1" applyProtection="1">
      <alignment horizontal="center" vertical="center"/>
    </xf>
    <xf numFmtId="0" fontId="5" fillId="2" borderId="21" xfId="0" applyFont="1" applyFill="1" applyBorder="1" applyProtection="1">
      <alignment horizontal="center" vertical="center" wrapText="1"/>
    </xf>
    <xf numFmtId="165" fontId="5" fillId="2" borderId="21" xfId="0" applyNumberFormat="1" applyFont="1" applyFill="1" applyBorder="1" applyProtection="1">
      <alignment horizontal="center" vertical="center" wrapText="1"/>
    </xf>
    <xf numFmtId="165" fontId="5" fillId="2" borderId="28" xfId="0" applyNumberFormat="1" applyFont="1" applyFill="1" applyBorder="1" applyProtection="1">
      <alignment horizontal="center" vertical="center" wrapText="1"/>
    </xf>
    <xf numFmtId="166" fontId="5" fillId="2" borderId="29" xfId="0" applyNumberFormat="1" applyFont="1" applyFill="1" applyBorder="1" applyProtection="1">
      <alignment horizontal="center" vertical="center" wrapText="1"/>
    </xf>
    <xf numFmtId="166" fontId="5" fillId="0" borderId="0" xfId="0" applyNumberFormat="1" applyFont="1">
      <alignment horizontal="center" vertical="center"/>
    </xf>
    <xf numFmtId="164" fontId="5" fillId="2" borderId="4" xfId="0" applyNumberFormat="1" applyFont="1" applyFill="1" applyBorder="1" applyProtection="1">
      <alignment horizontal="right" vertical="center"/>
    </xf>
    <xf numFmtId="164" fontId="5" fillId="3" borderId="4" xfId="0" applyNumberFormat="1" applyFont="1" applyFill="1" applyBorder="1" applyProtection="1">
      <alignment horizontal="right" vertical="center"/>
    </xf>
    <xf numFmtId="164" fontId="5" fillId="0" borderId="4" xfId="0" applyNumberFormat="1" applyFont="1" applyBorder="1" applyProtection="1">
      <alignment horizontal="right" vertical="center"/>
    </xf>
    <xf numFmtId="164" fontId="5" fillId="2" borderId="24" xfId="0" applyNumberFormat="1" applyFont="1" applyFill="1" applyBorder="1" applyProtection="1">
      <alignment horizontal="right" vertical="center"/>
    </xf>
    <xf numFmtId="0" fontId="5" fillId="0" borderId="22" xfId="0" applyFont="1" applyBorder="1" applyProtection="1">
      <alignment horizontal="general" vertical="center"/>
    </xf>
    <xf numFmtId="0" fontId="5" fillId="0" borderId="28" xfId="0" applyFont="1" applyBorder="1" applyProtection="1">
      <alignment horizontal="center" vertical="center"/>
    </xf>
    <xf numFmtId="0" fontId="5" fillId="2" borderId="28" xfId="0" applyFont="1" applyFill="1" applyBorder="1" applyProtection="1">
      <alignment horizontal="center" vertical="center" wrapText="1"/>
    </xf>
    <xf numFmtId="0" fontId="11" fillId="0" borderId="0" xfId="0" applyFont="1">
      <alignment horizontal="general" vertical="center" wrapText="1"/>
    </xf>
    <xf numFmtId="0" fontId="11" fillId="0" borderId="0" xfId="0" applyFont="1">
      <alignment horizontal="left" vertical="center" wrapText="1"/>
    </xf>
    <xf numFmtId="0" fontId="4" fillId="0" borderId="0" xfId="0" applyFont="1">
      <alignment horizontal="general" vertical="center"/>
    </xf>
    <xf numFmtId="0" fontId="11" fillId="5" borderId="10" xfId="0" applyFont="1" applyFill="1" applyBorder="1" applyProtection="1">
      <alignment horizontal="center" vertical="center" wrapText="1"/>
    </xf>
    <xf numFmtId="0" fontId="11" fillId="0" borderId="10" xfId="0" applyFont="1" applyBorder="1" applyProtection="1">
      <alignment horizontal="general" vertical="center" wrapText="1"/>
    </xf>
    <xf numFmtId="0" fontId="11" fillId="0" borderId="10" xfId="0" applyFont="1" applyBorder="1" applyProtection="1">
      <alignment horizontal="left" vertical="center"/>
    </xf>
    <xf numFmtId="0" fontId="11" fillId="0" borderId="10" xfId="0" applyFont="1" applyBorder="1" applyProtection="1">
      <alignment horizontal="left" vertical="center" wrapText="1"/>
    </xf>
    <xf numFmtId="0" fontId="12" fillId="0" borderId="19" xfId="0" applyFont="1" applyBorder="1" applyProtection="1">
      <alignment horizontal="center" vertical="center"/>
    </xf>
    <xf numFmtId="0" fontId="13" fillId="0" borderId="19" xfId="0" applyFont="1" applyBorder="1" applyProtection="1">
      <alignment horizontal="center" vertical="center"/>
    </xf>
    <xf numFmtId="0" fontId="11" fillId="0" borderId="21" xfId="0" applyFont="1" applyBorder="1" applyProtection="1">
      <alignment horizontal="general" vertical="center" wrapText="1"/>
    </xf>
    <xf numFmtId="0" fontId="11" fillId="0" borderId="21" xfId="0" applyFont="1" applyBorder="1" applyProtection="1">
      <alignment horizontal="left" vertical="center" wrapText="1"/>
    </xf>
    <xf numFmtId="0" fontId="13" fillId="0" borderId="0" xfId="0" applyFont="1">
      <alignment horizontal="center" vertical="center"/>
    </xf>
    <xf numFmtId="0" fontId="5" fillId="0" borderId="30" xfId="0" applyFont="1" applyBorder="1" applyProtection="1">
      <alignment horizontal="center" vertical="center" wrapText="1"/>
    </xf>
    <xf numFmtId="0" fontId="14" fillId="0" borderId="31" xfId="0" applyFont="1" applyBorder="1" applyProtection="1">
      <alignment horizontal="center" vertical="center"/>
    </xf>
    <xf numFmtId="0" fontId="14" fillId="0" borderId="32" xfId="0" applyFont="1" applyBorder="1" applyProtection="1">
      <alignment horizontal="center" vertical="center"/>
    </xf>
    <xf numFmtId="0" fontId="4" fillId="0" borderId="33" xfId="0" applyFont="1" applyBorder="1" applyProtection="1">
      <alignment horizontal="center" vertical="center"/>
    </xf>
    <xf numFmtId="0" fontId="14" fillId="0" borderId="34" xfId="0" applyFont="1" applyBorder="1" applyProtection="1">
      <alignment horizontal="center" vertical="center" wrapText="1"/>
    </xf>
    <xf numFmtId="0" fontId="15" fillId="0" borderId="21" xfId="0" applyFont="1" applyBorder="1" applyProtection="1">
      <alignment horizontal="center" vertical="center" wrapText="1"/>
    </xf>
    <xf numFmtId="0" fontId="14" fillId="0" borderId="10" xfId="0" applyFont="1" applyBorder="1" applyProtection="1">
      <alignment horizontal="left" vertical="center" wrapText="1"/>
    </xf>
    <xf numFmtId="0" fontId="5" fillId="0" borderId="34" xfId="0" applyFont="1" applyBorder="1" applyProtection="1">
      <alignment horizontal="center" vertical="center" wrapText="1"/>
    </xf>
    <xf numFmtId="0" fontId="14" fillId="0" borderId="28" xfId="0" applyFont="1" applyBorder="1" applyProtection="1">
      <alignment horizontal="center" vertical="center" wrapText="1"/>
    </xf>
    <xf numFmtId="0" fontId="16" fillId="0" borderId="10" xfId="0" applyFont="1" applyBorder="1" applyProtection="1">
      <alignment horizontal="general" vertical="center" wrapText="1"/>
    </xf>
    <xf numFmtId="0" fontId="5" fillId="0" borderId="35" xfId="0" applyFont="1" applyBorder="1" applyProtection="1">
      <alignment horizontal="center" vertical="center"/>
    </xf>
    <xf numFmtId="0" fontId="5" fillId="0" borderId="35" xfId="0" applyFont="1" applyBorder="1" applyProtection="1">
      <alignment horizontal="center" vertical="center" wrapText="1"/>
    </xf>
    <xf numFmtId="0" fontId="14" fillId="0" borderId="33" xfId="0" applyFont="1" applyBorder="1" applyProtection="1">
      <alignment horizontal="center" vertical="center"/>
    </xf>
    <xf numFmtId="0" fontId="5" fillId="0" borderId="28" xfId="0" applyFont="1" applyBorder="1" applyProtection="1">
      <alignment horizontal="center" vertical="center" wrapText="1"/>
    </xf>
    <xf numFmtId="0" fontId="5" fillId="0" borderId="10" xfId="0" applyFont="1" applyBorder="1" applyProtection="1">
      <alignment horizontal="center" vertical="center" wrapText="1"/>
    </xf>
    <xf numFmtId="0" fontId="14" fillId="0" borderId="36" xfId="0" applyFont="1" applyBorder="1" applyProtection="1">
      <alignment horizontal="center" vertical="center" wrapText="1"/>
    </xf>
    <xf numFmtId="0" fontId="14" fillId="0" borderId="18" xfId="0" applyFont="1" applyBorder="1" applyProtection="1">
      <alignment horizontal="center" vertical="center" wrapText="1"/>
    </xf>
    <xf numFmtId="0" fontId="13" fillId="0" borderId="10" xfId="0" applyFont="1" applyBorder="1" applyProtection="1">
      <alignment horizontal="center" vertical="center"/>
    </xf>
    <xf numFmtId="0" fontId="17" fillId="0" borderId="17" xfId="0" applyFont="1" applyBorder="1" applyProtection="1">
      <alignment horizontal="center" vertical="center" wrapText="1"/>
    </xf>
    <xf numFmtId="0" fontId="17" fillId="0" borderId="34" xfId="0" applyFont="1" applyBorder="1" applyProtection="1">
      <alignment horizontal="center" vertical="center" wrapText="1"/>
    </xf>
    <xf numFmtId="0" fontId="4" fillId="0" borderId="19" xfId="0" applyFont="1" applyBorder="1" applyProtection="1">
      <alignment horizontal="center" vertical="center"/>
    </xf>
    <xf numFmtId="0" fontId="4" fillId="0" borderId="18" xfId="0" applyFont="1" applyBorder="1" applyProtection="1">
      <alignment horizontal="center" vertical="center"/>
    </xf>
    <xf numFmtId="0" fontId="14" fillId="5" borderId="10" xfId="0" applyFont="1" applyFill="1" applyBorder="1" applyProtection="1">
      <alignment horizontal="center" vertical="center"/>
    </xf>
    <xf numFmtId="0" fontId="14" fillId="6" borderId="10" xfId="0" applyFont="1" applyFill="1" applyBorder="1" applyProtection="1">
      <alignment horizontal="center" vertical="center"/>
    </xf>
    <xf numFmtId="0" fontId="14" fillId="0" borderId="10" xfId="0" applyFont="1" applyBorder="1" applyProtection="1">
      <alignment horizontal="center" vertical="center"/>
    </xf>
    <xf numFmtId="0" fontId="14" fillId="0" borderId="37" xfId="0" applyFont="1" applyBorder="1" applyProtection="1">
      <alignment horizontal="center" vertical="center"/>
    </xf>
    <xf numFmtId="0" fontId="14" fillId="0" borderId="37" xfId="0" applyFont="1" applyBorder="1" applyProtection="1">
      <alignment horizontal="center" vertical="center"/>
    </xf>
    <xf numFmtId="0" fontId="4" fillId="0" borderId="10" xfId="0" applyFont="1" applyBorder="1" applyProtection="1">
      <alignment horizontal="center" vertical="center"/>
    </xf>
    <xf numFmtId="164" fontId="14" fillId="0" borderId="11" xfId="0" applyNumberFormat="1" applyFont="1" applyBorder="1" applyProtection="1">
      <alignment horizontal="center" vertical="center"/>
    </xf>
    <xf numFmtId="164" fontId="14" fillId="0" borderId="9" xfId="0" applyNumberFormat="1" applyFont="1" applyBorder="1" applyProtection="1">
      <alignment horizontal="center" vertical="center"/>
    </xf>
    <xf numFmtId="0" fontId="14" fillId="0" borderId="9" xfId="0" applyFont="1" applyBorder="1" applyProtection="1">
      <alignment horizontal="center" vertical="center"/>
    </xf>
    <xf numFmtId="164" fontId="14" fillId="0" borderId="9" xfId="0" applyNumberFormat="1" applyFont="1" applyBorder="1" applyProtection="1">
      <alignment horizontal="center" vertical="center"/>
    </xf>
    <xf numFmtId="0" fontId="18" fillId="0" borderId="9" xfId="0" applyFont="1" applyBorder="1" applyProtection="1">
      <alignment horizontal="center" vertical="center"/>
    </xf>
    <xf numFmtId="0" fontId="14" fillId="0" borderId="11" xfId="0" applyFont="1" applyBorder="1" applyProtection="1">
      <alignment horizontal="center" vertical="center"/>
    </xf>
    <xf numFmtId="0" fontId="14" fillId="0" borderId="9" xfId="0" applyFont="1" applyBorder="1" applyProtection="1">
      <alignment horizontal="center" vertical="center"/>
    </xf>
    <xf numFmtId="0" fontId="14" fillId="0" borderId="11" xfId="0" applyFont="1" applyBorder="1" applyProtection="1">
      <alignment horizontal="center" vertical="center" wrapText="1"/>
    </xf>
    <xf numFmtId="0" fontId="19" fillId="0" borderId="9" xfId="0" applyFont="1" applyBorder="1" applyProtection="1">
      <alignment horizontal="center" vertical="center"/>
    </xf>
    <xf numFmtId="0" fontId="14" fillId="0" borderId="11" xfId="0" applyFont="1" applyBorder="1" applyProtection="1">
      <alignment horizontal="center" vertical="center"/>
    </xf>
    <xf numFmtId="0" fontId="19" fillId="0" borderId="11" xfId="0" applyFont="1" applyBorder="1" applyProtection="1">
      <alignment horizontal="center" vertical="center"/>
    </xf>
    <xf numFmtId="9" fontId="14" fillId="0" borderId="11" xfId="0" applyNumberFormat="1" applyFont="1" applyBorder="1" applyProtection="1">
      <alignment horizontal="center" vertical="center"/>
    </xf>
    <xf numFmtId="9" fontId="14" fillId="0" borderId="9" xfId="0" applyNumberFormat="1" applyFont="1" applyBorder="1" applyProtection="1">
      <alignment horizontal="center" vertical="center"/>
    </xf>
    <xf numFmtId="9" fontId="14" fillId="0" borderId="9" xfId="0" applyNumberFormat="1" applyFont="1" applyBorder="1" applyProtection="1">
      <alignment horizontal="center" vertical="center"/>
    </xf>
    <xf numFmtId="0" fontId="4" fillId="0" borderId="28" xfId="0" applyFont="1" applyBorder="1" applyProtection="1">
      <alignment horizontal="center" vertical="center"/>
    </xf>
    <xf numFmtId="0" fontId="14" fillId="5" borderId="21" xfId="0" applyFont="1" applyFill="1" applyBorder="1" applyProtection="1">
      <alignment horizontal="center" vertical="center"/>
    </xf>
    <xf numFmtId="0" fontId="14" fillId="0" borderId="38" xfId="0" applyFont="1" applyBorder="1" applyProtection="1">
      <alignment horizontal="center" vertical="center"/>
    </xf>
    <xf numFmtId="0" fontId="4" fillId="0" borderId="19" xfId="0" applyFont="1" applyBorder="1" applyProtection="1">
      <alignment horizontal="general" vertical="center"/>
    </xf>
    <xf numFmtId="164" fontId="14" fillId="0" borderId="10" xfId="0" applyNumberFormat="1" applyFont="1" applyBorder="1" applyProtection="1">
      <alignment horizontal="center" vertical="center"/>
    </xf>
    <xf numFmtId="0" fontId="18" fillId="0" borderId="10" xfId="0" applyFont="1" applyBorder="1" applyProtection="1">
      <alignment horizontal="center" vertical="center"/>
    </xf>
    <xf numFmtId="0" fontId="14" fillId="0" borderId="10" xfId="0" applyFont="1" applyBorder="1" applyProtection="1">
      <alignment horizontal="center" vertical="center"/>
    </xf>
    <xf numFmtId="10" fontId="14" fillId="0" borderId="10" xfId="0" applyNumberFormat="1" applyFont="1" applyBorder="1" applyProtection="1">
      <alignment horizontal="center" vertical="center"/>
    </xf>
    <xf numFmtId="0" fontId="14" fillId="0" borderId="10" xfId="0" applyFont="1" applyBorder="1" applyProtection="1">
      <alignment horizontal="general" vertical="center" wrapText="1"/>
    </xf>
    <xf numFmtId="0" fontId="20" fillId="0" borderId="0" xfId="0" applyFont="1">
      <alignment horizontal="center" vertical="center" wrapText="1"/>
    </xf>
    <xf numFmtId="0" fontId="5" fillId="0" borderId="0" xfId="0" applyFont="1">
      <alignment horizontal="center" vertical="center" wrapText="1"/>
    </xf>
    <xf numFmtId="0" fontId="17" fillId="0" borderId="0" xfId="0" applyFont="1">
      <alignment horizontal="center" vertical="center" wrapText="1"/>
    </xf>
    <xf numFmtId="0" fontId="5" fillId="0" borderId="19" xfId="0" applyFont="1" applyBorder="1" applyProtection="1">
      <alignment horizontal="center" vertical="center"/>
    </xf>
    <xf numFmtId="0" fontId="4" fillId="0" borderId="18" xfId="0" applyFont="1" applyBorder="1" applyProtection="1">
      <alignment horizontal="center" vertical="center"/>
    </xf>
    <xf numFmtId="0" fontId="4" fillId="0" borderId="39" xfId="0" applyFont="1" applyBorder="1" applyProtection="1">
      <alignment horizontal="center" vertical="center"/>
    </xf>
    <xf numFmtId="0" fontId="21" fillId="0" borderId="10" xfId="0" applyFont="1" applyBorder="1" applyProtection="1">
      <alignment horizontal="center" vertical="center" wrapText="1"/>
    </xf>
    <xf numFmtId="0" fontId="21" fillId="7" borderId="33" xfId="0" applyFont="1" applyFill="1" applyBorder="1" applyProtection="1">
      <alignment horizontal="center" vertical="center" wrapText="1"/>
    </xf>
    <xf numFmtId="0" fontId="21" fillId="7" borderId="10" xfId="0" applyFont="1" applyFill="1" applyBorder="1" applyProtection="1">
      <alignment horizontal="center" vertical="center" wrapText="1"/>
    </xf>
    <xf numFmtId="0" fontId="21" fillId="8" borderId="10" xfId="0" applyFont="1" applyFill="1" applyBorder="1" applyProtection="1">
      <alignment horizontal="center" vertical="center" wrapText="1"/>
    </xf>
    <xf numFmtId="0" fontId="21" fillId="6" borderId="33" xfId="0" applyFont="1" applyFill="1" applyBorder="1" applyProtection="1">
      <alignment horizontal="center" vertical="center" wrapText="1"/>
    </xf>
    <xf numFmtId="0" fontId="21" fillId="8" borderId="19" xfId="0" applyFont="1" applyFill="1" applyBorder="1" applyProtection="1">
      <alignment horizontal="center" vertical="center" wrapText="1"/>
    </xf>
    <xf numFmtId="0" fontId="21" fillId="6" borderId="10" xfId="0" applyFont="1" applyFill="1" applyBorder="1" applyProtection="1">
      <alignment horizontal="center" vertical="center" wrapText="1"/>
    </xf>
    <xf numFmtId="0" fontId="21" fillId="9" borderId="28" xfId="0" applyFont="1" applyFill="1" applyBorder="1" applyProtection="1">
      <alignment horizontal="center" vertical="center" wrapText="1"/>
    </xf>
    <xf numFmtId="0" fontId="12" fillId="0" borderId="10" xfId="0" applyFont="1" applyBorder="1" applyProtection="1">
      <alignment horizontal="center" vertical="center"/>
    </xf>
    <xf numFmtId="0" fontId="20" fillId="0" borderId="10" xfId="0" applyFont="1" applyBorder="1" applyProtection="1">
      <alignment horizontal="center" vertical="center" wrapText="1"/>
    </xf>
    <xf numFmtId="0" fontId="20" fillId="0" borderId="19" xfId="0" applyFont="1" applyBorder="1" applyProtection="1">
      <alignment horizontal="center" vertical="center" wrapText="1"/>
    </xf>
    <xf numFmtId="0" fontId="5" fillId="0" borderId="19" xfId="0" applyFont="1" applyBorder="1" applyProtection="1">
      <alignment horizontal="center" vertical="center" wrapText="1"/>
    </xf>
    <xf numFmtId="0" fontId="14" fillId="0" borderId="10" xfId="0" applyFont="1" applyBorder="1" applyProtection="1">
      <alignment horizontal="center" vertical="center" wrapText="1"/>
    </xf>
    <xf numFmtId="0" fontId="14" fillId="0" borderId="21" xfId="0" applyFont="1" applyBorder="1" applyProtection="1">
      <alignment horizontal="center" vertical="center" wrapText="1"/>
    </xf>
    <xf numFmtId="0" fontId="14" fillId="0" borderId="21" xfId="0" applyFont="1" applyBorder="1" applyProtection="1">
      <alignment horizontal="center" vertical="center"/>
    </xf>
    <xf numFmtId="0" fontId="5" fillId="0" borderId="21" xfId="0" applyFont="1" applyBorder="1" applyProtection="1">
      <alignment horizontal="center" vertical="center" wrapText="1"/>
    </xf>
    <xf numFmtId="0" fontId="22" fillId="0" borderId="10" xfId="0" applyFont="1" applyBorder="1" applyProtection="1">
      <alignment horizontal="center" vertical="center" wrapText="1"/>
    </xf>
    <xf numFmtId="0" fontId="5" fillId="0" borderId="0" xfId="0" applyFont="1">
      <alignment horizontal="center" vertical="center" wrapText="1"/>
    </xf>
    <xf numFmtId="0" fontId="23" fillId="0" borderId="0" xfId="0" applyFont="1">
      <alignment horizontal="center" vertical="center" wrapText="1"/>
    </xf>
    <xf numFmtId="0" fontId="21" fillId="6" borderId="21" xfId="0" applyFont="1" applyFill="1" applyBorder="1" applyProtection="1">
      <alignment horizontal="center" vertical="center" wrapText="1"/>
    </xf>
    <xf numFmtId="0" fontId="21" fillId="6" borderId="10" xfId="0" applyFont="1" applyFill="1" applyBorder="1" applyProtection="1">
      <alignment horizontal="center" vertical="center" wrapText="1"/>
    </xf>
    <xf numFmtId="0" fontId="14" fillId="0" borderId="19" xfId="0" applyFont="1" applyBorder="1" applyProtection="1">
      <alignment horizontal="center" vertical="center"/>
    </xf>
    <xf numFmtId="0" fontId="11" fillId="0" borderId="28" xfId="0" applyFont="1" applyBorder="1" applyProtection="1">
      <alignment horizontal="center" vertical="center"/>
    </xf>
    <xf numFmtId="0" fontId="14" fillId="0" borderId="28" xfId="0" applyFont="1" applyBorder="1" applyProtection="1">
      <alignment horizontal="center" vertical="center"/>
    </xf>
    <xf numFmtId="0" fontId="14" fillId="0" borderId="19" xfId="0" applyFont="1" applyBorder="1" applyProtection="1">
      <alignment horizontal="center" vertical="center" wrapText="1"/>
    </xf>
    <xf numFmtId="9" fontId="14" fillId="0" borderId="10" xfId="0" applyNumberFormat="1" applyFont="1" applyBorder="1" applyProtection="1">
      <alignment horizontal="center" vertical="center"/>
    </xf>
    <xf numFmtId="0" fontId="15" fillId="0" borderId="10" xfId="0" applyFont="1" applyBorder="1" applyProtection="1">
      <alignment horizontal="center" vertical="center"/>
    </xf>
    <xf numFmtId="0" fontId="14" fillId="0" borderId="33" xfId="0" applyFont="1" applyBorder="1" applyProtection="1">
      <alignment horizontal="center" vertical="center" wrapText="1"/>
    </xf>
    <xf numFmtId="0" fontId="5" fillId="0" borderId="33" xfId="0" applyFont="1" applyBorder="1" applyProtection="1">
      <alignment horizontal="center" vertical="center" wrapText="1"/>
    </xf>
    <xf numFmtId="0" fontId="11" fillId="0" borderId="18" xfId="0" applyFont="1" applyBorder="1" applyProtection="1">
      <alignment horizontal="center" vertical="center"/>
    </xf>
    <xf numFmtId="0" fontId="11" fillId="0" borderId="39" xfId="0" applyFont="1" applyBorder="1" applyProtection="1">
      <alignment horizontal="center" vertical="center"/>
    </xf>
    <xf numFmtId="0" fontId="21" fillId="6" borderId="39" xfId="0" applyFont="1" applyFill="1" applyBorder="1" applyProtection="1">
      <alignment horizontal="center" vertical="center" wrapText="1"/>
    </xf>
    <xf numFmtId="0" fontId="21" fillId="8" borderId="21" xfId="0" applyFont="1" applyFill="1" applyBorder="1" applyProtection="1">
      <alignment horizontal="center" vertical="center" wrapText="1"/>
    </xf>
    <xf numFmtId="0" fontId="5" fillId="0" borderId="22" xfId="0" applyFont="1" applyBorder="1" applyProtection="1">
      <alignment horizontal="center" vertical="center" wrapText="1"/>
    </xf>
    <xf numFmtId="0" fontId="20" fillId="0" borderId="18" xfId="0" applyFont="1" applyBorder="1" applyProtection="1">
      <alignment horizontal="center" vertical="center" wrapText="1"/>
    </xf>
    <xf numFmtId="0" fontId="24" fillId="0" borderId="0" xfId="0" applyFont="1">
      <alignment horizontal="general" vertical="center"/>
    </xf>
    <xf numFmtId="0" fontId="17" fillId="0" borderId="10" xfId="0" applyFont="1" applyBorder="1" applyProtection="1">
      <alignment horizontal="center" vertical="center" wrapText="1"/>
    </xf>
    <xf numFmtId="0" fontId="17" fillId="0" borderId="18" xfId="0" applyFont="1" applyBorder="1" applyProtection="1">
      <alignment horizontal="center" vertical="center" wrapText="1"/>
    </xf>
    <xf numFmtId="0" fontId="4" fillId="0" borderId="0" xfId="0" applyFont="1">
      <alignment horizontal="general" vertical="center"/>
    </xf>
    <xf numFmtId="0" fontId="14" fillId="0" borderId="18" xfId="0" applyFont="1" applyBorder="1" applyProtection="1">
      <alignment horizontal="center" vertical="center"/>
    </xf>
    <xf numFmtId="0" fontId="14" fillId="0" borderId="34" xfId="0" applyFont="1" applyBorder="1" applyProtection="1">
      <alignment horizontal="center" vertical="center"/>
    </xf>
    <xf numFmtId="0" fontId="14" fillId="0" borderId="29" xfId="0" applyFont="1" applyBorder="1" applyProtection="1">
      <alignment horizontal="center" vertical="center"/>
    </xf>
    <xf numFmtId="0" fontId="17" fillId="0" borderId="39" xfId="0" applyFont="1" applyBorder="1" applyProtection="1">
      <alignment horizontal="center" vertical="center" wrapText="1"/>
    </xf>
    <xf numFmtId="0" fontId="17" fillId="0" borderId="21" xfId="0" applyFont="1" applyBorder="1" applyProtection="1">
      <alignment horizontal="center" vertical="center" wrapText="1"/>
    </xf>
    <xf numFmtId="0" fontId="17" fillId="0" borderId="28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25" fillId="6" borderId="10" xfId="0" applyFont="1" applyFill="1" applyBorder="1" applyProtection="1">
      <alignment horizontal="center" vertical="center" wrapText="1"/>
    </xf>
    <xf numFmtId="0" fontId="26" fillId="6" borderId="21" xfId="0" applyFont="1" applyFill="1" applyBorder="1" applyProtection="1">
      <alignment horizontal="center" vertical="center" wrapText="1"/>
    </xf>
    <xf numFmtId="0" fontId="27" fillId="0" borderId="10" xfId="0" applyFont="1" applyBorder="1" applyProtection="1">
      <alignment horizontal="center" vertical="center" wrapText="1"/>
    </xf>
    <xf numFmtId="0" fontId="28" fillId="0" borderId="21" xfId="0" applyFont="1" applyBorder="1" applyProtection="1">
      <alignment horizontal="center" vertical="center" wrapText="1"/>
    </xf>
    <xf numFmtId="0" fontId="29" fillId="0" borderId="21" xfId="0" applyFont="1" applyBorder="1" applyProtection="1">
      <alignment horizontal="center" vertical="center" wrapText="1"/>
    </xf>
    <xf numFmtId="0" fontId="30" fillId="0" borderId="21" xfId="0" applyFont="1" applyBorder="1" applyProtection="1">
      <alignment horizontal="center" vertical="center" wrapText="1"/>
    </xf>
    <xf numFmtId="0" fontId="31" fillId="0" borderId="21" xfId="0" applyFont="1" applyBorder="1" applyProtection="1">
      <alignment horizontal="center" vertical="center" wrapText="1"/>
    </xf>
    <xf numFmtId="0" fontId="32" fillId="0" borderId="21" xfId="0" applyFont="1" applyBorder="1" applyProtection="1">
      <alignment horizontal="center" vertical="center" wrapText="1"/>
    </xf>
    <xf numFmtId="0" fontId="33" fillId="0" borderId="21" xfId="0" applyFont="1" applyBorder="1" applyProtection="1">
      <alignment horizontal="center" vertical="center" wrapText="1"/>
    </xf>
    <xf numFmtId="0" fontId="34" fillId="0" borderId="10" xfId="0" applyFont="1" applyBorder="1" applyProtection="1">
      <alignment horizontal="center" vertical="center" wrapText="1"/>
    </xf>
    <xf numFmtId="0" fontId="35" fillId="0" borderId="10" xfId="0" applyFont="1" applyBorder="1" applyProtection="1">
      <alignment horizontal="center" vertical="center" wrapText="1"/>
    </xf>
    <xf numFmtId="0" fontId="36" fillId="0" borderId="21" xfId="0" applyFont="1" applyBorder="1" applyProtection="1">
      <alignment horizontal="center" vertical="center" wrapText="1"/>
    </xf>
    <xf numFmtId="0" fontId="37" fillId="0" borderId="19" xfId="0" applyFont="1" applyBorder="1" applyProtection="1">
      <alignment horizontal="center" vertical="center" wrapText="1"/>
    </xf>
    <xf numFmtId="0" fontId="38" fillId="0" borderId="19" xfId="0" applyFont="1" applyBorder="1" applyProtection="1">
      <alignment horizontal="center" vertical="center" wrapText="1"/>
    </xf>
    <xf numFmtId="0" fontId="39" fillId="0" borderId="10" xfId="0" applyFont="1" applyBorder="1" applyProtection="1">
      <alignment horizontal="center" vertical="center" wrapText="1"/>
    </xf>
    <xf numFmtId="0" fontId="40" fillId="0" borderId="18" xfId="0" applyFont="1" applyBorder="1" applyProtection="1">
      <alignment horizontal="center" vertical="center" wrapText="1"/>
    </xf>
    <xf numFmtId="0" fontId="41" fillId="0" borderId="10" xfId="0" applyFont="1" applyBorder="1" applyProtection="1">
      <alignment horizontal="center" vertical="center" wrapText="1"/>
    </xf>
    <xf numFmtId="0" fontId="42" fillId="0" borderId="21" xfId="0" applyFont="1" applyBorder="1" applyProtection="1">
      <alignment horizontal="center" vertical="center" wrapText="1"/>
    </xf>
    <xf numFmtId="0" fontId="43" fillId="0" borderId="21" xfId="0" applyFont="1" applyBorder="1" applyProtection="1">
      <alignment horizontal="center" vertical="center" wrapText="1"/>
    </xf>
    <xf numFmtId="0" fontId="44" fillId="0" borderId="21" xfId="0" applyFont="1" applyBorder="1" applyProtection="1">
      <alignment horizontal="center" vertical="center" wrapText="1"/>
    </xf>
    <xf numFmtId="0" fontId="45" fillId="0" borderId="21" xfId="0" applyFont="1" applyBorder="1" applyProtection="1">
      <alignment horizontal="center" vertical="center" wrapText="1"/>
    </xf>
    <xf numFmtId="0" fontId="46" fillId="0" borderId="21" xfId="0" applyFont="1" applyBorder="1" applyProtection="1">
      <alignment horizontal="center" vertical="center" wrapText="1"/>
    </xf>
    <xf numFmtId="0" fontId="47" fillId="0" borderId="28" xfId="0" applyFont="1" applyBorder="1" applyProtection="1">
      <alignment horizontal="center" vertical="center" wrapText="1"/>
    </xf>
    <xf numFmtId="0" fontId="48" fillId="0" borderId="21" xfId="0" applyFont="1" applyBorder="1" applyProtection="1">
      <alignment horizontal="center" vertical="center" wrapText="1"/>
    </xf>
    <xf numFmtId="0" fontId="49" fillId="0" borderId="21" xfId="0" applyFont="1" applyBorder="1" applyProtection="1">
      <alignment horizontal="center" vertical="center" wrapText="1"/>
    </xf>
    <xf numFmtId="0" fontId="50" fillId="0" borderId="21" xfId="0" applyFont="1" applyBorder="1" applyProtection="1">
      <alignment horizontal="center" vertical="center" wrapText="1"/>
    </xf>
    <xf numFmtId="0" fontId="51" fillId="0" borderId="21" xfId="0" applyFont="1" applyBorder="1" applyProtection="1">
      <alignment horizontal="center" vertical="center" wrapText="1"/>
    </xf>
    <xf numFmtId="0" fontId="52" fillId="0" borderId="21" xfId="0" applyFont="1" applyBorder="1" applyProtection="1">
      <alignment horizontal="center" vertical="center" wrapText="1"/>
    </xf>
    <xf numFmtId="0" fontId="53" fillId="0" borderId="21" xfId="0" applyFont="1" applyBorder="1" applyProtection="1">
      <alignment horizontal="center" vertical="center" wrapText="1"/>
    </xf>
    <xf numFmtId="0" fontId="54" fillId="0" borderId="21" xfId="0" applyFont="1" applyBorder="1" applyProtection="1">
      <alignment horizontal="center" vertical="center" wrapText="1"/>
    </xf>
    <xf numFmtId="0" fontId="55" fillId="0" borderId="10" xfId="0" applyFont="1" applyBorder="1" applyProtection="1">
      <alignment horizontal="center" vertical="center" wrapText="1"/>
    </xf>
    <xf numFmtId="0" fontId="56" fillId="0" borderId="21" xfId="0" applyFont="1" applyBorder="1" applyProtection="1">
      <alignment horizontal="center" vertical="center" wrapText="1"/>
    </xf>
    <xf numFmtId="0" fontId="57" fillId="0" borderId="18" xfId="0" applyFont="1" applyBorder="1" applyProtection="1">
      <alignment horizontal="center" vertical="center" wrapText="1"/>
    </xf>
    <xf numFmtId="0" fontId="58" fillId="0" borderId="19" xfId="0" applyFont="1" applyBorder="1" applyProtection="1">
      <alignment horizontal="center" vertical="center" wrapText="1"/>
    </xf>
    <xf numFmtId="0" fontId="59" fillId="0" borderId="10" xfId="0" applyFont="1" applyBorder="1" applyProtection="1">
      <alignment horizontal="center" vertical="center" wrapText="1"/>
    </xf>
    <xf numFmtId="0" fontId="60" fillId="0" borderId="18" xfId="0" applyFont="1" applyBorder="1" applyProtection="1">
      <alignment horizontal="center" vertical="center" wrapText="1"/>
    </xf>
    <xf numFmtId="0" fontId="61" fillId="0" borderId="34" xfId="0" applyFont="1" applyBorder="1" applyProtection="1">
      <alignment horizontal="center" vertical="center" wrapText="1"/>
    </xf>
    <xf numFmtId="0" fontId="62" fillId="0" borderId="10" xfId="0" applyFont="1" applyBorder="1" applyProtection="1">
      <alignment horizontal="center" vertical="center" wrapText="1"/>
    </xf>
    <xf numFmtId="0" fontId="63" fillId="0" borderId="10" xfId="0" applyFont="1" applyBorder="1" applyProtection="1">
      <alignment horizontal="center" vertical="center" wrapText="1"/>
    </xf>
    <xf numFmtId="0" fontId="64" fillId="0" borderId="10" xfId="0" applyFont="1" applyBorder="1" applyProtection="1">
      <alignment horizontal="center" vertical="center" wrapText="1"/>
    </xf>
    <xf numFmtId="0" fontId="65" fillId="0" borderId="10" xfId="0" applyFont="1" applyBorder="1" applyProtection="1">
      <alignment horizontal="center" vertical="center" wrapText="1"/>
    </xf>
    <xf numFmtId="0" fontId="66" fillId="0" borderId="19" xfId="0" applyFont="1" applyBorder="1" applyProtection="1">
      <alignment horizontal="center" vertical="center" wrapText="1"/>
    </xf>
    <xf numFmtId="0" fontId="67" fillId="0" borderId="10" xfId="0" applyFont="1" applyBorder="1" applyProtection="1">
      <alignment horizontal="center" vertical="center" wrapText="1"/>
    </xf>
    <xf numFmtId="0" fontId="68" fillId="0" borderId="10" xfId="0" applyFont="1" applyBorder="1" applyProtection="1">
      <alignment horizontal="center" vertical="center" wrapText="1"/>
    </xf>
    <xf numFmtId="0" fontId="69" fillId="0" borderId="10" xfId="0" applyFont="1" applyBorder="1" applyProtection="1">
      <alignment horizontal="center" vertical="center" wrapText="1"/>
    </xf>
    <xf numFmtId="0" fontId="70" fillId="0" borderId="10" xfId="0" applyFont="1" applyBorder="1" applyProtection="1">
      <alignment horizontal="center" vertical="center" wrapText="1"/>
    </xf>
    <xf numFmtId="0" fontId="71" fillId="0" borderId="10" xfId="0" applyFont="1" applyBorder="1" applyProtection="1">
      <alignment horizontal="center" vertical="center" wrapText="1"/>
    </xf>
    <xf numFmtId="0" fontId="72" fillId="0" borderId="10" xfId="0" applyFont="1" applyBorder="1" applyProtection="1">
      <alignment horizontal="center" vertical="center" wrapText="1"/>
    </xf>
    <xf numFmtId="0" fontId="73" fillId="0" borderId="10" xfId="0" applyFont="1" applyBorder="1" applyProtection="1">
      <alignment horizontal="center" vertical="center" wrapText="1"/>
    </xf>
    <xf numFmtId="0" fontId="74" fillId="0" borderId="10" xfId="0" applyFont="1" applyBorder="1" applyProtection="1">
      <alignment horizontal="center" vertical="center" wrapText="1"/>
    </xf>
    <xf numFmtId="0" fontId="75" fillId="0" borderId="10" xfId="0" applyFont="1" applyBorder="1" applyProtection="1">
      <alignment horizontal="center" vertical="center" wrapText="1"/>
    </xf>
    <xf numFmtId="0" fontId="76" fillId="0" borderId="10" xfId="0" applyFont="1" applyBorder="1" applyProtection="1">
      <alignment horizontal="center" vertical="center" wrapText="1"/>
    </xf>
    <xf numFmtId="0" fontId="77" fillId="0" borderId="10" xfId="0" applyFont="1" applyBorder="1" applyProtection="1">
      <alignment horizontal="center" vertical="center" wrapText="1"/>
    </xf>
    <xf numFmtId="0" fontId="78" fillId="0" borderId="10" xfId="0" applyFont="1" applyBorder="1" applyProtection="1">
      <alignment horizontal="center" vertical="center" wrapText="1"/>
    </xf>
    <xf numFmtId="0" fontId="79" fillId="0" borderId="19" xfId="0" applyFont="1" applyBorder="1" applyProtection="1">
      <alignment horizontal="center" vertical="center" wrapText="1"/>
    </xf>
    <xf numFmtId="0" fontId="80" fillId="0" borderId="10" xfId="0" applyFont="1" applyBorder="1" applyProtection="1">
      <alignment horizontal="center" vertical="center" wrapText="1"/>
    </xf>
    <xf numFmtId="0" fontId="81" fillId="0" borderId="19" xfId="0" applyFont="1" applyBorder="1" applyProtection="1">
      <alignment horizontal="center" vertical="center" wrapText="1"/>
    </xf>
    <xf numFmtId="0" fontId="82" fillId="0" borderId="19" xfId="0" applyFont="1" applyBorder="1" applyProtection="1">
      <alignment horizontal="center" vertical="center" wrapText="1"/>
    </xf>
    <xf numFmtId="0" fontId="83" fillId="0" borderId="18" xfId="0" applyFont="1" applyBorder="1" applyProtection="1">
      <alignment horizontal="center" vertical="center" wrapText="1"/>
    </xf>
    <xf numFmtId="0" fontId="84" fillId="0" borderId="10" xfId="0" applyFont="1" applyBorder="1" applyProtection="1">
      <alignment horizontal="center" vertical="center" wrapText="1"/>
    </xf>
    <xf numFmtId="0" fontId="85" fillId="0" borderId="10" xfId="0" applyFont="1" applyBorder="1" applyProtection="1">
      <alignment horizontal="center" vertical="center" wrapText="1"/>
    </xf>
    <xf numFmtId="0" fontId="86" fillId="0" borderId="10" xfId="0" applyFont="1" applyBorder="1" applyProtection="1">
      <alignment horizontal="center" vertical="center" wrapText="1"/>
    </xf>
    <xf numFmtId="0" fontId="87" fillId="0" borderId="10" xfId="0" applyFont="1" applyBorder="1" applyProtection="1">
      <alignment horizontal="center" vertical="center" wrapText="1"/>
    </xf>
    <xf numFmtId="0" fontId="88" fillId="0" borderId="10" xfId="0" applyFont="1" applyBorder="1" applyProtection="1">
      <alignment horizontal="center" vertical="center" wrapText="1"/>
    </xf>
    <xf numFmtId="0" fontId="89" fillId="0" borderId="10" xfId="0" applyFont="1" applyBorder="1" applyProtection="1">
      <alignment horizontal="center" vertical="center" wrapText="1"/>
    </xf>
    <xf numFmtId="0" fontId="90" fillId="0" borderId="10" xfId="0" applyFont="1" applyBorder="1" applyProtection="1">
      <alignment horizontal="center" vertical="center" wrapText="1"/>
    </xf>
    <xf numFmtId="0" fontId="91" fillId="0" borderId="10" xfId="0" applyFont="1" applyBorder="1" applyProtection="1">
      <alignment horizontal="center" vertical="center" wrapText="1"/>
    </xf>
    <xf numFmtId="0" fontId="92" fillId="0" borderId="19" xfId="0" applyFont="1" applyBorder="1" applyProtection="1">
      <alignment horizontal="center" vertical="center" wrapText="1"/>
    </xf>
    <xf numFmtId="0" fontId="93" fillId="0" borderId="19" xfId="0" applyFont="1" applyBorder="1" applyProtection="1">
      <alignment horizontal="center" vertical="center" wrapText="1"/>
    </xf>
    <xf numFmtId="0" fontId="94" fillId="0" borderId="10" xfId="0" applyFont="1" applyBorder="1" applyProtection="1">
      <alignment horizontal="center" vertical="center" wrapText="1"/>
    </xf>
    <xf numFmtId="0" fontId="95" fillId="0" borderId="39" xfId="0" applyFont="1" applyBorder="1" applyProtection="1">
      <alignment horizontal="center" vertical="center" wrapText="1"/>
    </xf>
    <xf numFmtId="0" fontId="96" fillId="0" borderId="10" xfId="0" applyFont="1" applyBorder="1" applyProtection="1">
      <alignment horizontal="center" vertical="center" wrapText="1"/>
    </xf>
    <xf numFmtId="0" fontId="97" fillId="0" borderId="21" xfId="0" applyFont="1" applyBorder="1" applyProtection="1">
      <alignment horizontal="center" vertical="center" wrapText="1"/>
    </xf>
    <xf numFmtId="0" fontId="98" fillId="0" borderId="10" xfId="0" applyFont="1" applyBorder="1" applyProtection="1">
      <alignment horizontal="center" vertical="center" wrapText="1"/>
    </xf>
    <xf numFmtId="0" fontId="99" fillId="0" borderId="10" xfId="0" applyFont="1" applyBorder="1" applyProtection="1">
      <alignment horizontal="center" vertical="center" wrapText="1"/>
    </xf>
    <xf numFmtId="0" fontId="100" fillId="0" borderId="10" xfId="0" applyFont="1" applyBorder="1" applyProtection="1">
      <alignment horizontal="center" vertical="center" wrapText="1"/>
    </xf>
    <xf numFmtId="0" fontId="101" fillId="0" borderId="10" xfId="0" applyFont="1" applyBorder="1" applyProtection="1">
      <alignment horizontal="center" vertical="center" wrapText="1"/>
    </xf>
    <xf numFmtId="0" fontId="102" fillId="0" borderId="10" xfId="0" applyFont="1" applyBorder="1" applyProtection="1">
      <alignment horizontal="center" vertical="center" wrapText="1"/>
    </xf>
    <xf numFmtId="0" fontId="103" fillId="0" borderId="19" xfId="0" applyFont="1" applyBorder="1" applyProtection="1">
      <alignment horizontal="center" vertical="center" wrapText="1"/>
    </xf>
    <xf numFmtId="0" fontId="104" fillId="0" borderId="19" xfId="0" applyFont="1" applyBorder="1" applyProtection="1">
      <alignment horizontal="center" vertical="center" wrapText="1"/>
    </xf>
    <xf numFmtId="0" fontId="105" fillId="0" borderId="34" xfId="0" applyFont="1" applyBorder="1" applyProtection="1">
      <alignment horizontal="center" vertical="center" wrapText="1"/>
    </xf>
    <xf numFmtId="0" fontId="106" fillId="0" borderId="10" xfId="0" applyFont="1" applyBorder="1" applyProtection="1">
      <alignment horizontal="center" vertical="center" wrapText="1"/>
    </xf>
    <xf numFmtId="0" fontId="107" fillId="0" borderId="28" xfId="0" applyFont="1" applyBorder="1" applyProtection="1">
      <alignment horizontal="center" vertical="center" wrapText="1"/>
    </xf>
    <xf numFmtId="0" fontId="108" fillId="0" borderId="28" xfId="0" applyFont="1" applyBorder="1" applyProtection="1">
      <alignment horizontal="center" vertical="center" wrapText="1"/>
    </xf>
    <xf numFmtId="0" fontId="109" fillId="0" borderId="10" xfId="0" applyFont="1" applyBorder="1" applyProtection="1">
      <alignment horizontal="center" vertical="center" wrapText="1"/>
    </xf>
    <xf numFmtId="0" fontId="110" fillId="0" borderId="10" xfId="0" applyFont="1" applyBorder="1" applyProtection="1">
      <alignment horizontal="center" vertical="center" wrapText="1"/>
    </xf>
    <xf numFmtId="0" fontId="111" fillId="0" borderId="10" xfId="0" applyFont="1" applyBorder="1" applyProtection="1">
      <alignment horizontal="center" vertical="center" wrapText="1"/>
    </xf>
    <xf numFmtId="0" fontId="112" fillId="0" borderId="10" xfId="0" applyFont="1" applyBorder="1" applyProtection="1">
      <alignment horizontal="center" vertical="center" wrapText="1"/>
    </xf>
    <xf numFmtId="0" fontId="113" fillId="0" borderId="10" xfId="0" applyFont="1" applyBorder="1" applyProtection="1">
      <alignment horizontal="center" vertical="center" wrapText="1"/>
    </xf>
    <xf numFmtId="0" fontId="114" fillId="0" borderId="10" xfId="0" applyFont="1" applyBorder="1" applyProtection="1">
      <alignment horizontal="center" vertical="center" wrapText="1"/>
    </xf>
    <xf numFmtId="0" fontId="115" fillId="0" borderId="10" xfId="0" applyFont="1" applyBorder="1" applyProtection="1">
      <alignment horizontal="center" vertical="center" wrapText="1"/>
    </xf>
    <xf numFmtId="0" fontId="116" fillId="0" borderId="10" xfId="0" applyFont="1" applyBorder="1" applyProtection="1">
      <alignment horizontal="center" vertical="center" wrapText="1"/>
    </xf>
    <xf numFmtId="0" fontId="117" fillId="0" borderId="10" xfId="0" applyFont="1" applyBorder="1" applyProtection="1">
      <alignment horizontal="center" vertical="center" wrapText="1"/>
    </xf>
    <xf numFmtId="0" fontId="118" fillId="0" borderId="10" xfId="0" applyFont="1" applyBorder="1" applyProtection="1">
      <alignment horizontal="center" vertical="center" wrapText="1"/>
    </xf>
    <xf numFmtId="0" fontId="119" fillId="0" borderId="10" xfId="0" applyFont="1" applyBorder="1" applyProtection="1">
      <alignment horizontal="center" vertical="center" wrapText="1"/>
    </xf>
    <xf numFmtId="0" fontId="120" fillId="0" borderId="10" xfId="0" applyFont="1" applyBorder="1" applyProtection="1">
      <alignment horizontal="center" vertical="center" wrapText="1"/>
    </xf>
    <xf numFmtId="0" fontId="121" fillId="0" borderId="19" xfId="0" applyFont="1" applyBorder="1" applyProtection="1">
      <alignment horizontal="center" vertical="center" wrapText="1"/>
    </xf>
    <xf numFmtId="0" fontId="122" fillId="0" borderId="19" xfId="0" applyFont="1" applyBorder="1" applyProtection="1">
      <alignment horizontal="center" vertical="center" wrapText="1"/>
    </xf>
    <xf numFmtId="0" fontId="123" fillId="0" borderId="10" xfId="0" applyFont="1" applyBorder="1" applyProtection="1">
      <alignment horizontal="center" vertical="center" wrapText="1"/>
    </xf>
    <xf numFmtId="0" fontId="124" fillId="0" borderId="18" xfId="0" applyFont="1" applyBorder="1" applyProtection="1">
      <alignment horizontal="center" vertical="center" wrapText="1"/>
    </xf>
    <xf numFmtId="0" fontId="125" fillId="0" borderId="10" xfId="0" applyFont="1" applyBorder="1" applyProtection="1">
      <alignment horizontal="center" vertical="center" wrapText="1"/>
    </xf>
    <xf numFmtId="0" fontId="126" fillId="0" borderId="10" xfId="0" applyFont="1" applyBorder="1" applyProtection="1">
      <alignment horizontal="center" vertical="center" wrapText="1"/>
    </xf>
    <xf numFmtId="0" fontId="127" fillId="0" borderId="19" xfId="0" applyFont="1" applyBorder="1" applyProtection="1">
      <alignment horizontal="center" vertical="center" wrapText="1"/>
    </xf>
    <xf numFmtId="0" fontId="128" fillId="0" borderId="10" xfId="0" applyFont="1" applyBorder="1" applyProtection="1">
      <alignment horizontal="center" vertical="center" wrapText="1"/>
    </xf>
    <xf numFmtId="0" fontId="129" fillId="0" borderId="19" xfId="0" applyFont="1" applyBorder="1" applyProtection="1">
      <alignment horizontal="center" vertical="center" wrapText="1"/>
    </xf>
    <xf numFmtId="0" fontId="130" fillId="0" borderId="19" xfId="0" applyFont="1" applyBorder="1" applyProtection="1">
      <alignment horizontal="center" vertical="center" wrapText="1"/>
    </xf>
    <xf numFmtId="0" fontId="131" fillId="0" borderId="19" xfId="0" applyFont="1" applyBorder="1" applyProtection="1">
      <alignment horizontal="center" vertical="center" wrapText="1"/>
    </xf>
    <xf numFmtId="0" fontId="132" fillId="0" borderId="19" xfId="0" applyFont="1" applyBorder="1" applyProtection="1">
      <alignment horizontal="center" vertical="center" wrapText="1"/>
    </xf>
    <xf numFmtId="0" fontId="133" fillId="0" borderId="19" xfId="0" applyFont="1" applyBorder="1" applyProtection="1">
      <alignment horizontal="center" vertical="center" wrapText="1"/>
    </xf>
    <xf numFmtId="0" fontId="134" fillId="0" borderId="33" xfId="0" applyFont="1" applyBorder="1" applyProtection="1">
      <alignment horizontal="center" vertical="center" wrapText="1"/>
    </xf>
    <xf numFmtId="0" fontId="135" fillId="0" borderId="10" xfId="0" applyFont="1" applyBorder="1" applyProtection="1">
      <alignment horizontal="general" vertical="center" wrapText="1"/>
    </xf>
    <xf numFmtId="0" fontId="136" fillId="0" borderId="10" xfId="0" applyFont="1" applyBorder="1" applyProtection="1">
      <alignment horizontal="general" vertical="center" wrapText="1"/>
    </xf>
    <xf numFmtId="0" fontId="137" fillId="0" borderId="10" xfId="0" applyFont="1" applyBorder="1" applyProtection="1">
      <alignment horizontal="left" vertical="center" wrapText="1"/>
    </xf>
    <xf numFmtId="0" fontId="138" fillId="0" borderId="10" xfId="0" applyFont="1" applyBorder="1" applyProtection="1">
      <alignment horizontal="general" vertical="center" wrapText="1"/>
    </xf>
    <xf numFmtId="0" fontId="139" fillId="0" borderId="10" xfId="0" applyFont="1" applyBorder="1" applyProtection="1">
      <alignment horizontal="general" vertical="center" wrapText="1"/>
    </xf>
    <xf numFmtId="0" fontId="140" fillId="0" borderId="10" xfId="0" applyFont="1" applyBorder="1" applyProtection="1">
      <alignment horizontal="general" vertical="center" wrapText="1"/>
    </xf>
    <xf numFmtId="0" fontId="141" fillId="0" borderId="10" xfId="0" applyFont="1" applyBorder="1" applyProtection="1">
      <alignment horizontal="general" vertical="center" wrapText="1"/>
    </xf>
    <xf numFmtId="0" fontId="142" fillId="0" borderId="10" xfId="0" applyFont="1" applyBorder="1" applyProtection="1">
      <alignment horizontal="general" vertical="center" wrapText="1"/>
    </xf>
    <xf numFmtId="0" fontId="143" fillId="2" borderId="10" xfId="0" applyFont="1" applyFill="1" applyBorder="1" applyProtection="1">
      <alignment horizontal="center" vertical="center" wrapText="1"/>
    </xf>
    <xf numFmtId="0" fontId="144" fillId="2" borderId="10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B4" activePane="bottomRight" state="frozen" xSplit="1" ySplit="3"/>
    </sheetView>
  </sheetViews>
  <sheetFormatPr baseColWidth="10" defaultColWidth="9.9990234375" defaultRowHeight="16.5" customHeight="1"/>
  <cols>
    <col min="1" max="1" width="30" customWidth="1" style="188"/>
    <col min="2" max="2" width="32.33203125" customWidth="1" style="188"/>
    <col min="3" max="4" width="26.666015625" customWidth="1" style="188"/>
    <col min="5" max="5" width="27.83203125" customWidth="1" style="148"/>
    <col min="6" max="6" width="36" customWidth="1" style="188"/>
    <col min="7" max="7" width="31.3330078125" customWidth="1" style="188"/>
    <col min="8" max="8" width="23.1650390625" customWidth="1" style="188"/>
    <col min="9" max="9" width="25.166015625" customWidth="1" style="188"/>
    <col min="10" max="10" width="32.1650390625" style="188"/>
    <col min="11" max="11" width="36" customWidth="1" style="188"/>
    <col min="12" max="12" width="37.3330078125" customWidth="1" style="188"/>
    <col min="13" max="13" width="41.1650390625" style="188"/>
    <col min="14" max="14" width="29.1650390625" hidden="1" customWidth="1" style="188"/>
    <col min="15" max="15" width="30" customWidth="1" style="188"/>
    <col min="16" max="16" width="31.6640625" customWidth="1" style="188"/>
    <col min="17" max="17" width="43.3330078125" customWidth="1" style="188"/>
    <col min="18" max="18" width="42.83203125" customWidth="1" style="149"/>
    <col min="19" max="19" width="27.83203125" customWidth="1" style="149"/>
    <col min="20" max="20" width="30.498046875" hidden="1" customWidth="1" style="149"/>
    <col min="21" max="21" width="32.666015625" customWidth="1" style="149"/>
    <col min="22" max="23" width="39.6650390625" customWidth="1" style="188"/>
  </cols>
  <sheetData>
    <row r="1" ht="23.25" customHeight="1">
      <c r="A1" s="150"/>
      <c r="B1" s="117"/>
      <c r="C1" s="117"/>
      <c r="D1" s="117"/>
      <c r="E1" s="151"/>
      <c r="F1" s="117"/>
      <c r="G1" s="152"/>
      <c r="H1" s="117"/>
      <c r="I1" s="117"/>
      <c r="J1" s="117"/>
      <c r="K1" s="117"/>
      <c r="L1" s="117"/>
      <c r="M1" s="117"/>
      <c r="N1" s="117"/>
      <c r="O1" s="117"/>
      <c r="P1" s="117"/>
      <c r="Q1" s="5"/>
      <c r="R1" s="182"/>
      <c r="S1" s="182"/>
      <c r="T1" s="183"/>
      <c r="U1" s="183"/>
    </row>
    <row r="2" s="86" customFormat="1" ht="42.75" customHeight="1">
      <c r="D2" s="86" t="s">
        <v>0</v>
      </c>
    </row>
    <row r="3" ht="42.75" customHeight="1">
      <c r="A3" s="153" t="s">
        <v>1</v>
      </c>
      <c r="B3" s="154" t="s">
        <v>2</v>
      </c>
      <c r="C3" s="155" t="s">
        <v>3</v>
      </c>
      <c r="D3" s="156" t="s">
        <v>4</v>
      </c>
      <c r="E3" s="157" t="s">
        <v>5</v>
      </c>
      <c r="F3" s="158" t="s">
        <v>6</v>
      </c>
      <c r="G3" s="159" t="s">
        <v>7</v>
      </c>
      <c r="H3" s="160" t="s">
        <v>8</v>
      </c>
      <c r="I3" s="156" t="s">
        <v>9</v>
      </c>
      <c r="J3" s="156" t="s">
        <v>10</v>
      </c>
      <c r="K3" s="156" t="s">
        <v>11</v>
      </c>
      <c r="L3" s="172" t="s">
        <v>12</v>
      </c>
      <c r="M3" s="172" t="s">
        <v>13</v>
      </c>
      <c r="N3" s="199" t="s">
        <v>14</v>
      </c>
      <c r="O3" s="156" t="s">
        <v>15</v>
      </c>
      <c r="P3" s="158" t="s">
        <v>16</v>
      </c>
      <c r="Q3" s="158" t="s">
        <v>17</v>
      </c>
      <c r="R3" s="173" t="s">
        <v>18</v>
      </c>
      <c r="S3" s="184" t="s">
        <v>19</v>
      </c>
      <c r="T3" s="200" t="s">
        <v>20</v>
      </c>
      <c r="U3" s="185" t="s">
        <v>21</v>
      </c>
      <c r="V3" s="86"/>
      <c r="W3" s="86"/>
      <c r="X3" s="186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</row>
    <row r="4" s="147" customFormat="1" ht="24.95" customHeight="1">
      <c r="A4" s="161" t="s">
        <v>22</v>
      </c>
      <c r="B4" s="162" t="s">
        <v>23</v>
      </c>
      <c r="C4" s="162" t="s">
        <v>24</v>
      </c>
      <c r="D4" s="162" t="s">
        <v>25</v>
      </c>
      <c r="E4" s="163" t="s">
        <v>26</v>
      </c>
      <c r="F4" s="162" t="s">
        <v>27</v>
      </c>
      <c r="G4" s="106" t="s">
        <v>28</v>
      </c>
      <c r="H4" s="162"/>
      <c r="I4" s="162" t="s">
        <v>29</v>
      </c>
      <c r="J4" s="162" t="s">
        <v>30</v>
      </c>
      <c r="K4" s="162" t="s">
        <v>31</v>
      </c>
      <c r="L4" s="162" t="s">
        <v>32</v>
      </c>
      <c r="M4" s="162" t="s">
        <v>33</v>
      </c>
      <c r="N4" s="162" t="s">
        <v>34</v>
      </c>
      <c r="O4" s="162" t="s">
        <v>35</v>
      </c>
      <c r="P4" s="163" t="s">
        <v>36</v>
      </c>
      <c r="Q4" s="163" t="s">
        <v>37</v>
      </c>
      <c r="R4" s="162" t="s">
        <v>38</v>
      </c>
      <c r="S4" s="187" t="s">
        <v>39</v>
      </c>
      <c r="T4" s="162" t="s">
        <v>40</v>
      </c>
      <c r="U4" s="162" t="s">
        <v>41</v>
      </c>
      <c r="V4" s="188"/>
      <c r="W4" s="188"/>
    </row>
    <row r="5" s="148" customFormat="1" ht="27.75" customHeight="1">
      <c r="A5" s="144" t="s">
        <v>42</v>
      </c>
      <c r="B5" s="144" t="s">
        <v>43</v>
      </c>
      <c r="C5" s="144" t="s">
        <v>44</v>
      </c>
      <c r="D5" s="144" t="s">
        <v>45</v>
      </c>
      <c r="E5" s="164" t="s">
        <v>46</v>
      </c>
      <c r="F5" s="144" t="s">
        <v>47</v>
      </c>
      <c r="G5" s="144" t="s">
        <v>48</v>
      </c>
      <c r="H5" s="144" t="s">
        <v>49</v>
      </c>
      <c r="I5" s="144" t="s">
        <v>50</v>
      </c>
      <c r="J5" s="144" t="s">
        <v>51</v>
      </c>
      <c r="K5" s="144" t="s">
        <v>51</v>
      </c>
      <c r="L5" s="110" t="s">
        <v>52</v>
      </c>
      <c r="M5" s="110" t="s">
        <v>53</v>
      </c>
      <c r="N5" s="144" t="s">
        <v>53</v>
      </c>
      <c r="O5" s="144" t="s">
        <v>54</v>
      </c>
      <c r="P5" s="174" t="s">
        <v>55</v>
      </c>
      <c r="Q5" s="174" t="s">
        <v>56</v>
      </c>
      <c r="R5" s="189" t="s">
        <v>57</v>
      </c>
      <c r="S5" s="190" t="s">
        <v>58</v>
      </c>
      <c r="T5" s="189"/>
      <c r="U5" s="189" t="s">
        <v>59</v>
      </c>
      <c r="V5" s="191"/>
      <c r="W5" s="191"/>
    </row>
    <row r="6" s="148" customFormat="1" ht="16.5" customHeight="1">
      <c r="A6" s="144" t="s">
        <v>60</v>
      </c>
      <c r="B6" s="144" t="s">
        <v>61</v>
      </c>
      <c r="C6" s="144" t="s">
        <v>62</v>
      </c>
      <c r="D6" s="144" t="s">
        <v>63</v>
      </c>
      <c r="E6" s="110" t="s">
        <v>64</v>
      </c>
      <c r="F6" s="144" t="s">
        <v>63</v>
      </c>
      <c r="G6" s="144" t="s">
        <v>62</v>
      </c>
      <c r="H6" s="144" t="s">
        <v>63</v>
      </c>
      <c r="I6" s="144" t="s">
        <v>63</v>
      </c>
      <c r="J6" s="144" t="s">
        <v>63</v>
      </c>
      <c r="K6" s="144" t="s">
        <v>65</v>
      </c>
      <c r="L6" s="110" t="s">
        <v>66</v>
      </c>
      <c r="M6" s="110" t="s">
        <v>66</v>
      </c>
      <c r="N6" s="144" t="s">
        <v>67</v>
      </c>
      <c r="O6" s="144" t="s">
        <v>68</v>
      </c>
      <c r="P6" s="144" t="s">
        <v>65</v>
      </c>
      <c r="Q6" s="174" t="s">
        <v>65</v>
      </c>
      <c r="R6" s="144" t="s">
        <v>62</v>
      </c>
      <c r="S6" s="192" t="s">
        <v>62</v>
      </c>
      <c r="T6" s="174" t="s">
        <v>69</v>
      </c>
      <c r="U6" s="144" t="s">
        <v>70</v>
      </c>
      <c r="V6" s="191"/>
      <c r="W6" s="191"/>
    </row>
    <row r="7" s="148" customFormat="1" ht="16.5" customHeight="1">
      <c r="A7" s="144" t="s">
        <v>71</v>
      </c>
      <c r="B7" s="144" t="s">
        <v>72</v>
      </c>
      <c r="C7" s="144" t="s">
        <v>72</v>
      </c>
      <c r="D7" s="144" t="s">
        <v>72</v>
      </c>
      <c r="E7" s="144" t="s">
        <v>72</v>
      </c>
      <c r="F7" s="144" t="s">
        <v>72</v>
      </c>
      <c r="G7" s="144" t="s">
        <v>72</v>
      </c>
      <c r="H7" s="144" t="s">
        <v>72</v>
      </c>
      <c r="I7" s="144" t="s">
        <v>72</v>
      </c>
      <c r="J7" s="144" t="s">
        <v>72</v>
      </c>
      <c r="K7" s="144" t="s">
        <v>72</v>
      </c>
      <c r="L7" s="144" t="s">
        <v>72</v>
      </c>
      <c r="M7" s="167" t="s">
        <v>72</v>
      </c>
      <c r="N7" s="167" t="s">
        <v>72</v>
      </c>
      <c r="O7" s="144" t="s">
        <v>72</v>
      </c>
      <c r="P7" s="174" t="s">
        <v>72</v>
      </c>
      <c r="Q7" s="174" t="s">
        <v>72</v>
      </c>
      <c r="R7" s="174" t="s">
        <v>72</v>
      </c>
      <c r="S7" s="192" t="s">
        <v>72</v>
      </c>
      <c r="T7" s="174" t="s">
        <v>72</v>
      </c>
      <c r="U7" s="144" t="s">
        <v>72</v>
      </c>
      <c r="V7" s="191"/>
      <c r="W7" s="191"/>
    </row>
    <row r="8" s="148" customFormat="1" ht="31.5" customHeight="1">
      <c r="A8" s="201" t="s">
        <v>73</v>
      </c>
      <c r="B8" s="144" t="s">
        <v>74</v>
      </c>
      <c r="C8" s="144" t="s">
        <v>75</v>
      </c>
      <c r="D8" s="144" t="s">
        <v>76</v>
      </c>
      <c r="E8" s="110" t="s">
        <v>77</v>
      </c>
      <c r="F8" s="144" t="s">
        <v>78</v>
      </c>
      <c r="G8" s="144" t="s">
        <v>79</v>
      </c>
      <c r="H8" s="144" t="s">
        <v>80</v>
      </c>
      <c r="I8" s="144" t="s">
        <v>81</v>
      </c>
      <c r="J8" s="144" t="s">
        <v>82</v>
      </c>
      <c r="K8" s="144" t="s">
        <v>83</v>
      </c>
      <c r="L8" s="164" t="s">
        <v>84</v>
      </c>
      <c r="M8" s="168" t="s">
        <v>85</v>
      </c>
      <c r="N8" s="175" t="s">
        <v>86</v>
      </c>
      <c r="O8" s="176" t="s">
        <v>87</v>
      </c>
      <c r="P8" s="174" t="s">
        <v>88</v>
      </c>
      <c r="Q8" s="174" t="s">
        <v>89</v>
      </c>
      <c r="R8" s="189" t="s">
        <v>90</v>
      </c>
      <c r="S8" s="190" t="s">
        <v>91</v>
      </c>
      <c r="T8" s="144" t="s">
        <v>92</v>
      </c>
      <c r="U8" s="189" t="s">
        <v>93</v>
      </c>
      <c r="V8" s="191"/>
      <c r="W8" s="191"/>
    </row>
    <row r="9" s="148" customFormat="1" ht="16.5" customHeight="1">
      <c r="A9" s="144" t="s">
        <v>94</v>
      </c>
      <c r="B9" s="144" t="s">
        <v>95</v>
      </c>
      <c r="C9" s="144" t="s">
        <v>96</v>
      </c>
      <c r="D9" s="144" t="s">
        <v>97</v>
      </c>
      <c r="E9" s="110" t="s">
        <v>98</v>
      </c>
      <c r="F9" s="144" t="s">
        <v>99</v>
      </c>
      <c r="G9" s="144" t="s">
        <v>100</v>
      </c>
      <c r="H9" s="144" t="s">
        <v>101</v>
      </c>
      <c r="I9" s="144" t="s">
        <v>102</v>
      </c>
      <c r="J9" s="144" t="s">
        <v>103</v>
      </c>
      <c r="K9" s="144" t="s">
        <v>104</v>
      </c>
      <c r="L9" s="164" t="s">
        <v>105</v>
      </c>
      <c r="M9" s="168" t="s">
        <v>106</v>
      </c>
      <c r="N9" s="138" t="s">
        <v>107</v>
      </c>
      <c r="O9" s="176" t="s">
        <v>108</v>
      </c>
      <c r="P9" s="174" t="s">
        <v>109</v>
      </c>
      <c r="Q9" s="174" t="s">
        <v>110</v>
      </c>
      <c r="R9" s="189" t="s">
        <v>111</v>
      </c>
      <c r="S9" s="190" t="s">
        <v>112</v>
      </c>
      <c r="T9" s="144" t="s">
        <v>113</v>
      </c>
      <c r="U9" s="189" t="s">
        <v>114</v>
      </c>
      <c r="V9" s="191"/>
      <c r="W9" s="191"/>
    </row>
    <row r="10" s="148" customFormat="1" ht="70.15000000000002" customHeight="1">
      <c r="A10" s="165" t="s">
        <v>115</v>
      </c>
      <c r="B10" s="166" t="s">
        <v>116</v>
      </c>
      <c r="C10" s="167" t="s">
        <v>117</v>
      </c>
      <c r="D10" s="202" t="s">
        <v>118</v>
      </c>
      <c r="E10" s="110" t="s">
        <v>119</v>
      </c>
      <c r="F10" s="203" t="s">
        <v>120</v>
      </c>
      <c r="G10" s="204" t="s">
        <v>121</v>
      </c>
      <c r="H10" s="205" t="s">
        <v>122</v>
      </c>
      <c r="I10" s="206" t="s">
        <v>123</v>
      </c>
      <c r="J10" s="207" t="s">
        <v>124</v>
      </c>
      <c r="K10" s="208" t="s">
        <v>125</v>
      </c>
      <c r="L10" s="209" t="s">
        <v>126</v>
      </c>
      <c r="M10" s="107" t="s">
        <v>127</v>
      </c>
      <c r="N10" s="166"/>
      <c r="O10" s="210" t="s">
        <v>128</v>
      </c>
      <c r="P10" s="211" t="s">
        <v>129</v>
      </c>
      <c r="Q10" s="212" t="s">
        <v>130</v>
      </c>
      <c r="R10" s="213" t="s">
        <v>131</v>
      </c>
      <c r="S10" s="214" t="s">
        <v>132</v>
      </c>
      <c r="T10" s="215" t="s">
        <v>133</v>
      </c>
      <c r="U10" s="189" t="s">
        <v>134</v>
      </c>
      <c r="V10" s="191"/>
      <c r="W10" s="191"/>
    </row>
    <row r="11" s="148" customFormat="1" ht="47.65000000000001" customHeight="1">
      <c r="A11" s="165" t="s">
        <v>135</v>
      </c>
      <c r="B11" s="166" t="s">
        <v>136</v>
      </c>
      <c r="C11" s="166" t="s">
        <v>136</v>
      </c>
      <c r="D11" s="166" t="s">
        <v>137</v>
      </c>
      <c r="E11" s="166" t="s">
        <v>136</v>
      </c>
      <c r="F11" s="166" t="s">
        <v>137</v>
      </c>
      <c r="G11" s="166" t="s">
        <v>137</v>
      </c>
      <c r="H11" s="166" t="s">
        <v>137</v>
      </c>
      <c r="I11" s="166" t="s">
        <v>137</v>
      </c>
      <c r="J11" s="166" t="s">
        <v>137</v>
      </c>
      <c r="K11" s="166" t="s">
        <v>137</v>
      </c>
      <c r="L11" s="180" t="s">
        <v>137</v>
      </c>
      <c r="M11" s="165" t="s">
        <v>137</v>
      </c>
      <c r="N11" s="111"/>
      <c r="O11" s="166" t="s">
        <v>137</v>
      </c>
      <c r="P11" s="166" t="s">
        <v>137</v>
      </c>
      <c r="Q11" s="166" t="s">
        <v>137</v>
      </c>
      <c r="R11" s="166" t="s">
        <v>137</v>
      </c>
      <c r="S11" s="166" t="s">
        <v>137</v>
      </c>
      <c r="T11" s="189"/>
      <c r="U11" s="166" t="s">
        <v>137</v>
      </c>
      <c r="V11" s="191"/>
      <c r="W11" s="191"/>
    </row>
    <row r="12" s="148" customFormat="1" ht="53.65000000000001" customHeight="1">
      <c r="A12" s="165" t="s">
        <v>138</v>
      </c>
      <c r="B12" s="166" t="n">
        <v>1</v>
      </c>
      <c r="C12" s="167" t="n">
        <v>1</v>
      </c>
      <c r="D12" s="166" t="n">
        <v>1</v>
      </c>
      <c r="E12" s="110" t="n">
        <v>1</v>
      </c>
      <c r="F12" s="166" t="n">
        <v>1</v>
      </c>
      <c r="G12" s="166" t="n">
        <v>1</v>
      </c>
      <c r="H12" s="166" t="n">
        <v>2</v>
      </c>
      <c r="I12" s="166" t="n">
        <v>2</v>
      </c>
      <c r="J12" s="166" t="n">
        <v>2</v>
      </c>
      <c r="K12" s="165" t="n">
        <v>2</v>
      </c>
      <c r="L12" s="110" t="n">
        <v>2</v>
      </c>
      <c r="M12" s="103" t="n">
        <v>2</v>
      </c>
      <c r="N12" s="166"/>
      <c r="O12" s="166" t="n">
        <v>2</v>
      </c>
      <c r="P12" s="177" t="n">
        <v>2</v>
      </c>
      <c r="Q12" s="177" t="n">
        <v>2</v>
      </c>
      <c r="R12" s="189" t="n">
        <v>2</v>
      </c>
      <c r="S12" s="190" t="n">
        <v>2</v>
      </c>
      <c r="T12" s="189"/>
      <c r="U12" s="189" t="n">
        <v>2</v>
      </c>
      <c r="V12" s="191"/>
      <c r="W12" s="191"/>
    </row>
    <row r="13" s="148" customFormat="1" ht="46.15000000000001" customHeight="1">
      <c r="A13" s="165" t="s">
        <v>139</v>
      </c>
      <c r="B13" s="166" t="s">
        <v>116</v>
      </c>
      <c r="C13" s="167" t="s">
        <v>117</v>
      </c>
      <c r="D13" s="216" t="s">
        <v>118</v>
      </c>
      <c r="E13" s="110" t="s">
        <v>119</v>
      </c>
      <c r="F13" s="217" t="s">
        <v>120</v>
      </c>
      <c r="G13" s="180" t="s">
        <v>140</v>
      </c>
      <c r="H13" s="218" t="s">
        <v>122</v>
      </c>
      <c r="I13" s="219" t="s">
        <v>123</v>
      </c>
      <c r="J13" s="220" t="s">
        <v>124</v>
      </c>
      <c r="K13" s="221" t="s">
        <v>141</v>
      </c>
      <c r="L13" s="110" t="s">
        <v>142</v>
      </c>
      <c r="M13" s="107" t="s">
        <v>143</v>
      </c>
      <c r="N13" s="166"/>
      <c r="O13" s="222" t="s">
        <v>128</v>
      </c>
      <c r="P13" s="177" t="s">
        <v>144</v>
      </c>
      <c r="Q13" s="177" t="s">
        <v>145</v>
      </c>
      <c r="R13" s="189" t="s">
        <v>146</v>
      </c>
      <c r="S13" s="190" t="s">
        <v>147</v>
      </c>
      <c r="T13" s="189"/>
      <c r="U13" s="189" t="s">
        <v>148</v>
      </c>
      <c r="V13" s="191"/>
      <c r="W13" s="191"/>
    </row>
    <row r="14" s="148" customFormat="1" ht="46.15000000000001" customHeight="1">
      <c r="A14" s="165" t="s">
        <v>149</v>
      </c>
      <c r="B14" s="166" t="s">
        <v>136</v>
      </c>
      <c r="C14" s="166" t="s">
        <v>136</v>
      </c>
      <c r="D14" s="166" t="s">
        <v>137</v>
      </c>
      <c r="E14" s="166" t="s">
        <v>136</v>
      </c>
      <c r="F14" s="166" t="s">
        <v>137</v>
      </c>
      <c r="G14" s="166" t="s">
        <v>137</v>
      </c>
      <c r="H14" s="166" t="s">
        <v>137</v>
      </c>
      <c r="I14" s="166" t="s">
        <v>137</v>
      </c>
      <c r="J14" s="166" t="s">
        <v>137</v>
      </c>
      <c r="K14" s="166" t="s">
        <v>137</v>
      </c>
      <c r="L14" s="180" t="s">
        <v>137</v>
      </c>
      <c r="M14" s="165" t="s">
        <v>137</v>
      </c>
      <c r="N14" s="111"/>
      <c r="O14" s="166" t="s">
        <v>137</v>
      </c>
      <c r="P14" s="166" t="s">
        <v>137</v>
      </c>
      <c r="Q14" s="166" t="s">
        <v>137</v>
      </c>
      <c r="R14" s="166" t="s">
        <v>137</v>
      </c>
      <c r="S14" s="166" t="s">
        <v>137</v>
      </c>
      <c r="T14" s="189"/>
      <c r="U14" s="166" t="s">
        <v>137</v>
      </c>
      <c r="V14" s="191"/>
      <c r="W14" s="191"/>
    </row>
    <row r="15" s="148" customFormat="1" ht="38.65000000000002" customHeight="1">
      <c r="A15" s="165" t="s">
        <v>150</v>
      </c>
      <c r="B15" s="166" t="n">
        <v>1</v>
      </c>
      <c r="C15" s="108" t="n">
        <v>1</v>
      </c>
      <c r="D15" s="165" t="n">
        <v>1</v>
      </c>
      <c r="E15" s="109" t="n">
        <v>1</v>
      </c>
      <c r="F15" s="166" t="n">
        <v>1</v>
      </c>
      <c r="G15" s="180" t="n">
        <v>1</v>
      </c>
      <c r="H15" s="177" t="n">
        <v>2</v>
      </c>
      <c r="I15" s="177" t="n">
        <v>2</v>
      </c>
      <c r="J15" s="165" t="n">
        <v>2</v>
      </c>
      <c r="K15" s="104" t="n">
        <v>2</v>
      </c>
      <c r="L15" s="110" t="n">
        <v>2</v>
      </c>
      <c r="M15" s="103" t="n">
        <v>2</v>
      </c>
      <c r="N15" s="166"/>
      <c r="O15" s="166" t="n">
        <v>2</v>
      </c>
      <c r="P15" s="177" t="n">
        <v>2</v>
      </c>
      <c r="Q15" s="177" t="n">
        <v>2</v>
      </c>
      <c r="R15" s="189" t="n">
        <v>2</v>
      </c>
      <c r="S15" s="190" t="n">
        <v>2</v>
      </c>
      <c r="T15" s="189"/>
      <c r="U15" s="189" t="n">
        <v>2</v>
      </c>
      <c r="V15" s="191"/>
      <c r="W15" s="191"/>
    </row>
    <row r="16" s="148" customFormat="1" ht="51.20000000000001" customHeight="1">
      <c r="A16" s="144" t="s">
        <v>151</v>
      </c>
      <c r="B16" s="166" t="s">
        <v>116</v>
      </c>
      <c r="C16" s="223" t="s">
        <v>152</v>
      </c>
      <c r="D16" s="224" t="s">
        <v>153</v>
      </c>
      <c r="E16" s="164" t="s">
        <v>154</v>
      </c>
      <c r="F16" s="225" t="s">
        <v>120</v>
      </c>
      <c r="G16" s="111" t="s">
        <v>155</v>
      </c>
      <c r="H16" s="226" t="s">
        <v>122</v>
      </c>
      <c r="I16" s="227" t="s">
        <v>123</v>
      </c>
      <c r="J16" s="228" t="s">
        <v>124</v>
      </c>
      <c r="K16" s="229" t="s">
        <v>156</v>
      </c>
      <c r="L16" s="110" t="s">
        <v>157</v>
      </c>
      <c r="M16" s="110" t="s">
        <v>158</v>
      </c>
      <c r="N16" s="180"/>
      <c r="O16" s="230" t="s">
        <v>128</v>
      </c>
      <c r="P16" s="231" t="s">
        <v>159</v>
      </c>
      <c r="Q16" s="232" t="s">
        <v>156</v>
      </c>
      <c r="R16" s="233" t="s">
        <v>160</v>
      </c>
      <c r="S16" s="234" t="s">
        <v>161</v>
      </c>
      <c r="T16" s="189" t="s">
        <v>162</v>
      </c>
      <c r="U16" s="189" t="s">
        <v>163</v>
      </c>
      <c r="V16" s="191"/>
      <c r="W16" s="191"/>
    </row>
    <row r="17" s="148" customFormat="1" ht="42.4" customHeight="1">
      <c r="A17" s="144" t="s">
        <v>164</v>
      </c>
      <c r="B17" s="167" t="s">
        <v>165</v>
      </c>
      <c r="C17" s="144" t="s">
        <v>166</v>
      </c>
      <c r="D17" s="144" t="s">
        <v>167</v>
      </c>
      <c r="E17" s="164" t="s">
        <v>168</v>
      </c>
      <c r="F17" s="144" t="s">
        <v>167</v>
      </c>
      <c r="G17" s="176" t="s">
        <v>169</v>
      </c>
      <c r="H17" s="144" t="s">
        <v>170</v>
      </c>
      <c r="I17" s="144" t="s">
        <v>171</v>
      </c>
      <c r="J17" s="144" t="s">
        <v>171</v>
      </c>
      <c r="K17" s="165" t="s">
        <v>172</v>
      </c>
      <c r="L17" s="110" t="s">
        <v>173</v>
      </c>
      <c r="M17" s="110" t="s">
        <v>174</v>
      </c>
      <c r="N17" s="177"/>
      <c r="O17" s="165" t="s">
        <v>175</v>
      </c>
      <c r="P17" s="112" t="s">
        <v>176</v>
      </c>
      <c r="Q17" s="177" t="s">
        <v>177</v>
      </c>
      <c r="R17" s="189" t="s">
        <v>177</v>
      </c>
      <c r="S17" s="190" t="s">
        <v>178</v>
      </c>
      <c r="T17" s="165"/>
      <c r="U17" s="190" t="s">
        <v>178</v>
      </c>
      <c r="V17" s="191"/>
      <c r="W17" s="191"/>
    </row>
    <row r="18" s="148" customFormat="1" ht="34.5" customHeight="1">
      <c r="A18" s="174" t="s">
        <v>179</v>
      </c>
      <c r="B18" s="113" t="s">
        <v>180</v>
      </c>
      <c r="C18" s="176" t="s">
        <v>181</v>
      </c>
      <c r="D18" s="144" t="s">
        <v>182</v>
      </c>
      <c r="E18" s="110" t="s">
        <v>183</v>
      </c>
      <c r="F18" s="235" t="s">
        <v>184</v>
      </c>
      <c r="G18" s="144" t="s">
        <v>185</v>
      </c>
      <c r="H18" s="165" t="s">
        <v>182</v>
      </c>
      <c r="I18" s="144" t="s">
        <v>182</v>
      </c>
      <c r="J18" s="144" t="s">
        <v>182</v>
      </c>
      <c r="K18" s="144" t="s">
        <v>182</v>
      </c>
      <c r="L18" s="144" t="s">
        <v>182</v>
      </c>
      <c r="M18" s="110" t="s">
        <v>186</v>
      </c>
      <c r="N18" s="144"/>
      <c r="O18" s="193" t="s">
        <v>182</v>
      </c>
      <c r="P18" s="174" t="s">
        <v>182</v>
      </c>
      <c r="Q18" s="174" t="s">
        <v>182</v>
      </c>
      <c r="R18" s="144" t="s">
        <v>187</v>
      </c>
      <c r="S18" s="192" t="s">
        <v>182</v>
      </c>
      <c r="T18" s="189"/>
      <c r="U18" s="189" t="s">
        <v>188</v>
      </c>
      <c r="V18" s="191"/>
      <c r="W18" s="191"/>
    </row>
    <row r="19" s="148" customFormat="1" ht="34.5" customHeight="1">
      <c r="A19" s="174" t="s">
        <v>189</v>
      </c>
      <c r="B19" s="113" t="n">
        <v>0</v>
      </c>
      <c r="C19" s="176" t="n">
        <v>1</v>
      </c>
      <c r="D19" s="144" t="n">
        <v>1</v>
      </c>
      <c r="E19" s="110" t="n">
        <v>1</v>
      </c>
      <c r="F19" s="165" t="n">
        <v>1</v>
      </c>
      <c r="G19" s="144" t="n">
        <v>1</v>
      </c>
      <c r="H19" s="165" t="n">
        <v>1</v>
      </c>
      <c r="I19" s="144" t="n">
        <v>1</v>
      </c>
      <c r="J19" s="144" t="n">
        <v>1</v>
      </c>
      <c r="K19" s="144" t="n">
        <v>1</v>
      </c>
      <c r="L19" s="144" t="n">
        <v>1</v>
      </c>
      <c r="M19" s="110" t="n">
        <v>1</v>
      </c>
      <c r="N19" s="144"/>
      <c r="O19" s="144" t="n">
        <v>1</v>
      </c>
      <c r="P19" s="174" t="n">
        <v>1</v>
      </c>
      <c r="Q19" s="174" t="n">
        <v>1</v>
      </c>
      <c r="R19" s="144" t="n">
        <v>1</v>
      </c>
      <c r="S19" s="192" t="n">
        <v>1</v>
      </c>
      <c r="T19" s="189"/>
      <c r="U19" s="189" t="n">
        <v>1</v>
      </c>
      <c r="V19" s="191"/>
      <c r="W19" s="191"/>
    </row>
    <row r="20" s="148" customFormat="1" ht="60.4" customHeight="1">
      <c r="A20" s="144" t="s">
        <v>190</v>
      </c>
      <c r="B20" s="144" t="s">
        <v>191</v>
      </c>
      <c r="C20" s="165" t="s">
        <v>192</v>
      </c>
      <c r="D20" s="236" t="s">
        <v>193</v>
      </c>
      <c r="E20" s="110" t="s">
        <v>194</v>
      </c>
      <c r="F20" s="237" t="s">
        <v>195</v>
      </c>
      <c r="G20" s="166" t="s">
        <v>196</v>
      </c>
      <c r="H20" s="238" t="s">
        <v>197</v>
      </c>
      <c r="I20" s="165" t="s">
        <v>198</v>
      </c>
      <c r="J20" s="165" t="s">
        <v>199</v>
      </c>
      <c r="K20" s="239" t="s">
        <v>200</v>
      </c>
      <c r="L20" s="110" t="s">
        <v>201</v>
      </c>
      <c r="M20" s="110" t="s">
        <v>202</v>
      </c>
      <c r="N20" s="144"/>
      <c r="O20" s="144" t="s">
        <v>203</v>
      </c>
      <c r="P20" s="240" t="s">
        <v>204</v>
      </c>
      <c r="Q20" s="174" t="s">
        <v>205</v>
      </c>
      <c r="R20" s="189" t="s">
        <v>206</v>
      </c>
      <c r="S20" s="195" t="s">
        <v>207</v>
      </c>
      <c r="T20" s="189"/>
      <c r="U20" s="241" t="s">
        <v>208</v>
      </c>
      <c r="V20" s="191"/>
      <c r="W20" s="191"/>
    </row>
    <row r="21" s="148" customFormat="1" ht="60.4" customHeight="1">
      <c r="A21" s="144" t="s">
        <v>209</v>
      </c>
      <c r="B21" s="144" t="s">
        <v>191</v>
      </c>
      <c r="C21" s="165" t="s">
        <v>210</v>
      </c>
      <c r="D21" s="165" t="s">
        <v>211</v>
      </c>
      <c r="E21" s="110" t="s">
        <v>210</v>
      </c>
      <c r="F21" s="165" t="n">
        <v>400</v>
      </c>
      <c r="G21" s="166" t="s">
        <v>212</v>
      </c>
      <c r="H21" s="165" t="s">
        <v>213</v>
      </c>
      <c r="I21" s="165" t="s">
        <v>213</v>
      </c>
      <c r="J21" s="165" t="s">
        <v>214</v>
      </c>
      <c r="K21" s="165" t="s">
        <v>215</v>
      </c>
      <c r="L21" s="110" t="s">
        <v>216</v>
      </c>
      <c r="M21" s="110" t="s">
        <v>217</v>
      </c>
      <c r="N21" s="144"/>
      <c r="O21" s="177" t="s">
        <v>218</v>
      </c>
      <c r="P21" s="177" t="s">
        <v>218</v>
      </c>
      <c r="Q21" s="174" t="s">
        <v>219</v>
      </c>
      <c r="R21" s="174" t="s">
        <v>219</v>
      </c>
      <c r="S21" s="189" t="s">
        <v>220</v>
      </c>
      <c r="T21" s="197"/>
      <c r="U21" s="189" t="s">
        <v>221</v>
      </c>
      <c r="V21" s="191"/>
      <c r="W21" s="191"/>
    </row>
    <row r="22" s="148" customFormat="1" ht="38.65" customHeight="1">
      <c r="A22" s="144" t="s">
        <v>222</v>
      </c>
      <c r="B22" s="193" t="s">
        <v>223</v>
      </c>
      <c r="C22" s="165" t="n">
        <v>1</v>
      </c>
      <c r="D22" s="165" t="n">
        <v>1</v>
      </c>
      <c r="E22" s="110" t="n">
        <v>1</v>
      </c>
      <c r="F22" s="165" t="n">
        <v>1</v>
      </c>
      <c r="G22" s="166" t="n">
        <v>2</v>
      </c>
      <c r="H22" s="165" t="n">
        <v>2</v>
      </c>
      <c r="I22" s="165" t="n">
        <v>2</v>
      </c>
      <c r="J22" s="165" t="n">
        <v>3</v>
      </c>
      <c r="K22" s="165" t="n">
        <v>3</v>
      </c>
      <c r="L22" s="110" t="n">
        <v>3</v>
      </c>
      <c r="M22" s="110" t="n">
        <v>3</v>
      </c>
      <c r="N22" s="144"/>
      <c r="O22" s="144" t="n">
        <v>3</v>
      </c>
      <c r="P22" s="177" t="n">
        <v>3</v>
      </c>
      <c r="Q22" s="174" t="n">
        <v>3</v>
      </c>
      <c r="R22" s="189" t="n">
        <v>3</v>
      </c>
      <c r="S22" s="114" t="n">
        <v>4</v>
      </c>
      <c r="T22" s="189"/>
      <c r="U22" s="189" t="n">
        <v>5</v>
      </c>
      <c r="V22" s="191"/>
      <c r="W22" s="191"/>
    </row>
    <row r="23" s="148" customFormat="1" ht="16.5" customHeight="1">
      <c r="A23" s="144" t="s">
        <v>224</v>
      </c>
      <c r="B23" s="144" t="n">
        <v>3</v>
      </c>
      <c r="C23" s="144" t="n">
        <v>3</v>
      </c>
      <c r="D23" s="144" t="n">
        <v>2</v>
      </c>
      <c r="E23" s="110" t="n">
        <v>3</v>
      </c>
      <c r="F23" s="144" t="n">
        <v>2</v>
      </c>
      <c r="G23" s="144" t="n">
        <v>3</v>
      </c>
      <c r="H23" s="144" t="n">
        <v>3</v>
      </c>
      <c r="I23" s="144" t="n">
        <v>3</v>
      </c>
      <c r="J23" s="144" t="n">
        <v>4</v>
      </c>
      <c r="K23" s="144" t="n">
        <v>4</v>
      </c>
      <c r="L23" s="110" t="n">
        <v>4</v>
      </c>
      <c r="M23" s="110" t="n">
        <v>4</v>
      </c>
      <c r="N23" s="144"/>
      <c r="O23" s="144" t="n">
        <v>3</v>
      </c>
      <c r="P23" s="174" t="n">
        <v>4</v>
      </c>
      <c r="Q23" s="174" t="n">
        <v>4</v>
      </c>
      <c r="R23" s="189" t="n">
        <v>3</v>
      </c>
      <c r="S23" s="190" t="n">
        <v>4</v>
      </c>
      <c r="T23" s="189"/>
      <c r="U23" s="189" t="n">
        <v>4</v>
      </c>
      <c r="V23" s="191"/>
      <c r="W23" s="191"/>
    </row>
    <row r="24" s="148" customFormat="1" ht="54.75" customHeight="1">
      <c r="A24" s="144" t="s">
        <v>225</v>
      </c>
      <c r="B24" s="144" t="s">
        <v>226</v>
      </c>
      <c r="C24" s="144" t="s">
        <v>227</v>
      </c>
      <c r="D24" s="144" t="s">
        <v>228</v>
      </c>
      <c r="E24" s="110" t="s">
        <v>229</v>
      </c>
      <c r="F24" s="144" t="s">
        <v>228</v>
      </c>
      <c r="G24" s="165" t="s">
        <v>230</v>
      </c>
      <c r="H24" s="144" t="s">
        <v>228</v>
      </c>
      <c r="I24" s="144" t="s">
        <v>228</v>
      </c>
      <c r="J24" s="144" t="s">
        <v>228</v>
      </c>
      <c r="K24" s="144" t="s">
        <v>226</v>
      </c>
      <c r="L24" s="110" t="s">
        <v>226</v>
      </c>
      <c r="M24" s="110" t="s">
        <v>226</v>
      </c>
      <c r="N24" s="144"/>
      <c r="O24" s="110" t="s">
        <v>226</v>
      </c>
      <c r="P24" s="177" t="s">
        <v>226</v>
      </c>
      <c r="Q24" s="177" t="s">
        <v>226</v>
      </c>
      <c r="R24" s="189" t="s">
        <v>231</v>
      </c>
      <c r="S24" s="189" t="s">
        <v>231</v>
      </c>
      <c r="T24" s="189"/>
      <c r="U24" s="189" t="s">
        <v>232</v>
      </c>
      <c r="V24" s="191"/>
      <c r="W24" s="191"/>
    </row>
    <row r="25" s="148" customFormat="1" ht="27.75" customHeight="1">
      <c r="A25" s="144" t="s">
        <v>233</v>
      </c>
      <c r="B25" s="144" t="s">
        <v>117</v>
      </c>
      <c r="C25" s="144" t="s">
        <v>117</v>
      </c>
      <c r="D25" s="144" t="s">
        <v>234</v>
      </c>
      <c r="E25" s="110" t="s">
        <v>235</v>
      </c>
      <c r="F25" s="144" t="s">
        <v>234</v>
      </c>
      <c r="G25" s="144" t="s">
        <v>234</v>
      </c>
      <c r="H25" s="144" t="s">
        <v>234</v>
      </c>
      <c r="I25" s="144" t="s">
        <v>236</v>
      </c>
      <c r="J25" s="144" t="s">
        <v>234</v>
      </c>
      <c r="K25" s="144" t="s">
        <v>234</v>
      </c>
      <c r="L25" s="144" t="s">
        <v>234</v>
      </c>
      <c r="M25" s="144" t="s">
        <v>234</v>
      </c>
      <c r="N25" s="144"/>
      <c r="O25" s="144" t="s">
        <v>234</v>
      </c>
      <c r="P25" s="144" t="s">
        <v>234</v>
      </c>
      <c r="Q25" s="144" t="s">
        <v>234</v>
      </c>
      <c r="R25" s="144" t="s">
        <v>234</v>
      </c>
      <c r="S25" s="144" t="s">
        <v>234</v>
      </c>
      <c r="T25" s="189"/>
      <c r="U25" s="144" t="s">
        <v>234</v>
      </c>
      <c r="V25" s="191"/>
      <c r="W25" s="191"/>
    </row>
    <row r="26" s="148" customFormat="1" ht="38.25" customHeight="1">
      <c r="A26" s="144" t="s">
        <v>237</v>
      </c>
      <c r="B26" s="144" t="s">
        <v>117</v>
      </c>
      <c r="C26" s="144" t="s">
        <v>227</v>
      </c>
      <c r="D26" s="144" t="s">
        <v>238</v>
      </c>
      <c r="E26" s="110" t="s">
        <v>117</v>
      </c>
      <c r="F26" s="144" t="s">
        <v>238</v>
      </c>
      <c r="G26" s="242" t="s">
        <v>239</v>
      </c>
      <c r="H26" s="144" t="s">
        <v>238</v>
      </c>
      <c r="I26" s="144" t="s">
        <v>240</v>
      </c>
      <c r="J26" s="144" t="s">
        <v>226</v>
      </c>
      <c r="K26" s="144" t="s">
        <v>241</v>
      </c>
      <c r="L26" s="243" t="s">
        <v>239</v>
      </c>
      <c r="M26" s="110" t="s">
        <v>242</v>
      </c>
      <c r="N26" s="144"/>
      <c r="O26" s="144" t="s">
        <v>243</v>
      </c>
      <c r="P26" s="174" t="s">
        <v>117</v>
      </c>
      <c r="Q26" s="174" t="s">
        <v>117</v>
      </c>
      <c r="R26" s="244" t="s">
        <v>239</v>
      </c>
      <c r="S26" s="190" t="s">
        <v>117</v>
      </c>
      <c r="T26" s="144"/>
      <c r="U26" s="144" t="s">
        <v>117</v>
      </c>
      <c r="V26" s="191"/>
      <c r="W26" s="191"/>
    </row>
    <row r="27" s="148" customFormat="1" ht="23.05" customHeight="1">
      <c r="A27" s="144" t="s">
        <v>244</v>
      </c>
      <c r="B27" s="144" t="s">
        <v>245</v>
      </c>
      <c r="C27" s="144" t="s">
        <v>246</v>
      </c>
      <c r="D27" s="144" t="s">
        <v>247</v>
      </c>
      <c r="E27" s="144" t="s">
        <v>246</v>
      </c>
      <c r="F27" s="144" t="s">
        <v>247</v>
      </c>
      <c r="G27" s="144" t="s">
        <v>246</v>
      </c>
      <c r="H27" s="144" t="s">
        <v>247</v>
      </c>
      <c r="I27" s="144" t="s">
        <v>247</v>
      </c>
      <c r="J27" s="144" t="s">
        <v>247</v>
      </c>
      <c r="K27" s="144" t="s">
        <v>247</v>
      </c>
      <c r="L27" s="110" t="s">
        <v>248</v>
      </c>
      <c r="M27" s="110" t="s">
        <v>248</v>
      </c>
      <c r="N27" s="144"/>
      <c r="O27" s="144" t="s">
        <v>249</v>
      </c>
      <c r="P27" s="144" t="s">
        <v>249</v>
      </c>
      <c r="Q27" s="144" t="s">
        <v>249</v>
      </c>
      <c r="R27" s="194" t="s">
        <v>250</v>
      </c>
      <c r="S27" s="194" t="s">
        <v>250</v>
      </c>
      <c r="T27" s="144"/>
      <c r="U27" s="144" t="s">
        <v>249</v>
      </c>
      <c r="V27" s="191"/>
      <c r="W27" s="191"/>
    </row>
    <row r="28" s="148" customFormat="1" ht="23.05" customHeight="1">
      <c r="A28" s="144" t="s">
        <v>251</v>
      </c>
      <c r="B28" s="144" t="s">
        <v>252</v>
      </c>
      <c r="C28" s="144" t="s">
        <v>253</v>
      </c>
      <c r="D28" s="144" t="s">
        <v>254</v>
      </c>
      <c r="E28" s="144" t="s">
        <v>253</v>
      </c>
      <c r="F28" s="144" t="s">
        <v>254</v>
      </c>
      <c r="G28" s="144" t="s">
        <v>253</v>
      </c>
      <c r="H28" s="144" t="s">
        <v>254</v>
      </c>
      <c r="I28" s="144" t="s">
        <v>254</v>
      </c>
      <c r="J28" s="144" t="s">
        <v>254</v>
      </c>
      <c r="K28" s="144" t="s">
        <v>254</v>
      </c>
      <c r="L28" s="110" t="s">
        <v>255</v>
      </c>
      <c r="M28" s="110" t="s">
        <v>255</v>
      </c>
      <c r="N28" s="110" t="s">
        <v>256</v>
      </c>
      <c r="O28" s="144" t="s">
        <v>257</v>
      </c>
      <c r="P28" s="144" t="s">
        <v>257</v>
      </c>
      <c r="Q28" s="144" t="s">
        <v>257</v>
      </c>
      <c r="R28" s="174" t="s">
        <v>258</v>
      </c>
      <c r="S28" s="174" t="s">
        <v>258</v>
      </c>
      <c r="T28" s="174" t="s">
        <v>259</v>
      </c>
      <c r="U28" s="189" t="s">
        <v>260</v>
      </c>
      <c r="V28" s="191"/>
      <c r="W28" s="191"/>
    </row>
    <row r="29" s="148" customFormat="1" ht="34.75" customHeight="1">
      <c r="A29" s="144" t="s">
        <v>261</v>
      </c>
      <c r="B29" s="144" t="s">
        <v>246</v>
      </c>
      <c r="C29" s="144" t="s">
        <v>246</v>
      </c>
      <c r="D29" s="144" t="s">
        <v>247</v>
      </c>
      <c r="E29" s="144" t="s">
        <v>246</v>
      </c>
      <c r="F29" s="144" t="s">
        <v>247</v>
      </c>
      <c r="G29" s="144" t="s">
        <v>246</v>
      </c>
      <c r="H29" s="144" t="s">
        <v>247</v>
      </c>
      <c r="I29" s="144" t="s">
        <v>247</v>
      </c>
      <c r="J29" s="144" t="s">
        <v>247</v>
      </c>
      <c r="K29" s="144" t="s">
        <v>247</v>
      </c>
      <c r="L29" s="110" t="s">
        <v>248</v>
      </c>
      <c r="M29" s="110" t="s">
        <v>248</v>
      </c>
      <c r="N29" s="144"/>
      <c r="O29" s="144" t="s">
        <v>249</v>
      </c>
      <c r="P29" s="144" t="s">
        <v>249</v>
      </c>
      <c r="Q29" s="178" t="s">
        <v>249</v>
      </c>
      <c r="R29" s="194" t="s">
        <v>250</v>
      </c>
      <c r="S29" s="194" t="s">
        <v>250</v>
      </c>
      <c r="T29" s="189"/>
      <c r="U29" s="144" t="s">
        <v>249</v>
      </c>
      <c r="V29" s="191"/>
      <c r="W29" s="191"/>
    </row>
    <row r="30" s="148" customFormat="1" ht="23.05" customHeight="1">
      <c r="A30" s="144" t="s">
        <v>262</v>
      </c>
      <c r="B30" s="144" t="s">
        <v>263</v>
      </c>
      <c r="C30" s="144" t="s">
        <v>263</v>
      </c>
      <c r="D30" s="144" t="s">
        <v>263</v>
      </c>
      <c r="E30" s="144" t="s">
        <v>263</v>
      </c>
      <c r="F30" s="144" t="s">
        <v>263</v>
      </c>
      <c r="G30" s="144" t="s">
        <v>263</v>
      </c>
      <c r="H30" s="144" t="s">
        <v>263</v>
      </c>
      <c r="I30" s="144" t="s">
        <v>263</v>
      </c>
      <c r="J30" s="144" t="s">
        <v>263</v>
      </c>
      <c r="K30" s="144" t="s">
        <v>263</v>
      </c>
      <c r="L30" s="144" t="s">
        <v>263</v>
      </c>
      <c r="M30" s="144" t="s">
        <v>263</v>
      </c>
      <c r="N30" s="144"/>
      <c r="O30" s="144" t="s">
        <v>263</v>
      </c>
      <c r="P30" s="174" t="s">
        <v>263</v>
      </c>
      <c r="Q30" s="144" t="s">
        <v>263</v>
      </c>
      <c r="R30" s="144" t="s">
        <v>263</v>
      </c>
      <c r="S30" s="174" t="s">
        <v>263</v>
      </c>
      <c r="T30" s="144"/>
      <c r="U30" s="144" t="s">
        <v>263</v>
      </c>
      <c r="V30" s="191"/>
      <c r="W30" s="191"/>
    </row>
    <row r="31" s="148" customFormat="1" ht="46.5" customHeight="1">
      <c r="A31" s="245" t="s">
        <v>264</v>
      </c>
      <c r="B31" s="144" t="s">
        <v>265</v>
      </c>
      <c r="C31" s="165" t="s">
        <v>266</v>
      </c>
      <c r="D31" s="144" t="s">
        <v>267</v>
      </c>
      <c r="E31" s="110" t="s">
        <v>268</v>
      </c>
      <c r="F31" s="144" t="s">
        <v>269</v>
      </c>
      <c r="G31" s="144" t="s">
        <v>270</v>
      </c>
      <c r="H31" s="144" t="s">
        <v>271</v>
      </c>
      <c r="I31" s="165" t="s">
        <v>272</v>
      </c>
      <c r="J31" s="144" t="s">
        <v>269</v>
      </c>
      <c r="K31" s="144" t="s">
        <v>273</v>
      </c>
      <c r="L31" s="110" t="s">
        <v>270</v>
      </c>
      <c r="M31" s="110" t="s">
        <v>265</v>
      </c>
      <c r="N31" s="144" t="s">
        <v>274</v>
      </c>
      <c r="O31" s="165" t="s">
        <v>269</v>
      </c>
      <c r="P31" s="174" t="s">
        <v>273</v>
      </c>
      <c r="Q31" s="144" t="s">
        <v>273</v>
      </c>
      <c r="R31" s="174" t="s">
        <v>273</v>
      </c>
      <c r="S31" s="174" t="s">
        <v>273</v>
      </c>
      <c r="T31" s="144" t="s">
        <v>275</v>
      </c>
      <c r="U31" s="144" t="s">
        <v>276</v>
      </c>
      <c r="V31" s="191"/>
      <c r="W31" s="191"/>
    </row>
    <row r="32" s="148" customFormat="1" ht="32.25" customHeight="1">
      <c r="A32" s="246" t="s">
        <v>277</v>
      </c>
      <c r="B32" s="144" t="s">
        <v>278</v>
      </c>
      <c r="C32" s="144" t="s">
        <v>272</v>
      </c>
      <c r="D32" s="144" t="s">
        <v>267</v>
      </c>
      <c r="E32" s="110" t="s">
        <v>279</v>
      </c>
      <c r="F32" s="144" t="s">
        <v>280</v>
      </c>
      <c r="G32" s="144" t="s">
        <v>281</v>
      </c>
      <c r="H32" s="144" t="s">
        <v>282</v>
      </c>
      <c r="I32" s="144" t="s">
        <v>283</v>
      </c>
      <c r="J32" s="144" t="s">
        <v>284</v>
      </c>
      <c r="K32" s="165" t="s">
        <v>282</v>
      </c>
      <c r="L32" s="144" t="s">
        <v>282</v>
      </c>
      <c r="M32" s="144" t="s">
        <v>285</v>
      </c>
      <c r="N32" s="144"/>
      <c r="O32" s="144" t="s">
        <v>283</v>
      </c>
      <c r="P32" s="174" t="s">
        <v>286</v>
      </c>
      <c r="Q32" s="144" t="s">
        <v>287</v>
      </c>
      <c r="R32" s="174" t="s">
        <v>287</v>
      </c>
      <c r="S32" s="174" t="s">
        <v>288</v>
      </c>
      <c r="T32" s="174" t="s">
        <v>288</v>
      </c>
      <c r="U32" s="189" t="s">
        <v>289</v>
      </c>
      <c r="V32" s="191"/>
      <c r="W32" s="191"/>
    </row>
    <row r="33" s="148" customFormat="1" ht="40.9" customHeight="1">
      <c r="A33" s="247" t="s">
        <v>290</v>
      </c>
      <c r="B33" s="144" t="s">
        <v>291</v>
      </c>
      <c r="C33" s="144" t="s">
        <v>292</v>
      </c>
      <c r="D33" s="144" t="s">
        <v>293</v>
      </c>
      <c r="E33" s="110" t="s">
        <v>294</v>
      </c>
      <c r="F33" s="144" t="s">
        <v>293</v>
      </c>
      <c r="G33" s="248" t="s">
        <v>295</v>
      </c>
      <c r="H33" s="144" t="s">
        <v>293</v>
      </c>
      <c r="I33" s="144" t="s">
        <v>293</v>
      </c>
      <c r="J33" s="144" t="s">
        <v>293</v>
      </c>
      <c r="K33" s="144" t="s">
        <v>293</v>
      </c>
      <c r="L33" s="144" t="s">
        <v>293</v>
      </c>
      <c r="M33" s="144" t="s">
        <v>293</v>
      </c>
      <c r="N33" s="179"/>
      <c r="O33" s="144" t="s">
        <v>293</v>
      </c>
      <c r="P33" s="144" t="s">
        <v>293</v>
      </c>
      <c r="Q33" s="144" t="s">
        <v>293</v>
      </c>
      <c r="R33" s="144" t="s">
        <v>293</v>
      </c>
      <c r="S33" s="144" t="s">
        <v>293</v>
      </c>
      <c r="T33" s="189"/>
      <c r="U33" s="144" t="s">
        <v>293</v>
      </c>
      <c r="V33" s="191"/>
      <c r="W33" s="191"/>
    </row>
    <row r="34" s="148" customFormat="1" ht="69.65" customHeight="1">
      <c r="A34" s="249" t="s">
        <v>296</v>
      </c>
      <c r="B34" s="144" t="s">
        <v>297</v>
      </c>
      <c r="C34" s="144" t="s">
        <v>298</v>
      </c>
      <c r="D34" s="144" t="s">
        <v>299</v>
      </c>
      <c r="E34" s="110" t="s">
        <v>300</v>
      </c>
      <c r="F34" s="144" t="s">
        <v>301</v>
      </c>
      <c r="G34" s="250" t="s">
        <v>302</v>
      </c>
      <c r="H34" s="144" t="s">
        <v>303</v>
      </c>
      <c r="I34" s="144" t="s">
        <v>303</v>
      </c>
      <c r="J34" s="251" t="s">
        <v>304</v>
      </c>
      <c r="K34" s="252" t="s">
        <v>305</v>
      </c>
      <c r="L34" s="144" t="s">
        <v>293</v>
      </c>
      <c r="M34" s="253" t="s">
        <v>306</v>
      </c>
      <c r="N34" s="144"/>
      <c r="O34" s="254" t="s">
        <v>307</v>
      </c>
      <c r="P34" s="255" t="s">
        <v>308</v>
      </c>
      <c r="Q34" s="256" t="s">
        <v>309</v>
      </c>
      <c r="R34" s="144" t="s">
        <v>293</v>
      </c>
      <c r="S34" s="257" t="s">
        <v>310</v>
      </c>
      <c r="T34" s="144"/>
      <c r="U34" s="258" t="s">
        <v>311</v>
      </c>
      <c r="V34" s="191"/>
      <c r="W34" s="191"/>
    </row>
    <row r="35" s="148" customFormat="1" ht="85.5" customHeight="1">
      <c r="A35" s="259" t="s">
        <v>312</v>
      </c>
      <c r="B35" s="144" t="s">
        <v>313</v>
      </c>
      <c r="C35" s="144" t="s">
        <v>314</v>
      </c>
      <c r="D35" s="144" t="s">
        <v>315</v>
      </c>
      <c r="E35" s="110" t="s">
        <v>316</v>
      </c>
      <c r="F35" s="144" t="s">
        <v>317</v>
      </c>
      <c r="G35" s="260" t="s">
        <v>318</v>
      </c>
      <c r="H35" s="144" t="s">
        <v>319</v>
      </c>
      <c r="I35" s="144" t="s">
        <v>320</v>
      </c>
      <c r="J35" s="261" t="s">
        <v>321</v>
      </c>
      <c r="K35" s="262" t="s">
        <v>322</v>
      </c>
      <c r="L35" s="263" t="s">
        <v>323</v>
      </c>
      <c r="M35" s="264" t="s">
        <v>324</v>
      </c>
      <c r="N35" s="144"/>
      <c r="O35" s="265" t="s">
        <v>325</v>
      </c>
      <c r="P35" s="266" t="s">
        <v>326</v>
      </c>
      <c r="Q35" s="267" t="s">
        <v>327</v>
      </c>
      <c r="R35" s="268" t="s">
        <v>328</v>
      </c>
      <c r="S35" s="269" t="s">
        <v>329</v>
      </c>
      <c r="T35" s="196"/>
      <c r="U35" s="270" t="s">
        <v>330</v>
      </c>
      <c r="V35" s="191"/>
      <c r="W35" s="191"/>
    </row>
    <row r="36" s="148" customFormat="1" ht="78.75" customHeight="1">
      <c r="A36" s="271" t="s">
        <v>331</v>
      </c>
      <c r="B36" s="144" t="s">
        <v>293</v>
      </c>
      <c r="C36" s="144" t="s">
        <v>314</v>
      </c>
      <c r="D36" s="144" t="s">
        <v>315</v>
      </c>
      <c r="E36" s="110" t="s">
        <v>332</v>
      </c>
      <c r="F36" s="144" t="s">
        <v>291</v>
      </c>
      <c r="G36" s="272" t="s">
        <v>333</v>
      </c>
      <c r="H36" s="144" t="s">
        <v>334</v>
      </c>
      <c r="I36" s="144" t="s">
        <v>301</v>
      </c>
      <c r="J36" s="144" t="s">
        <v>294</v>
      </c>
      <c r="K36" s="273" t="s">
        <v>335</v>
      </c>
      <c r="L36" s="274" t="s">
        <v>336</v>
      </c>
      <c r="M36" s="275" t="s">
        <v>337</v>
      </c>
      <c r="N36" s="144" t="s">
        <v>338</v>
      </c>
      <c r="O36" s="276" t="s">
        <v>302</v>
      </c>
      <c r="P36" s="277" t="s">
        <v>339</v>
      </c>
      <c r="Q36" s="278" t="s">
        <v>340</v>
      </c>
      <c r="R36" s="279" t="s">
        <v>341</v>
      </c>
      <c r="S36" s="280" t="s">
        <v>342</v>
      </c>
      <c r="T36" s="197"/>
      <c r="U36" s="281" t="s">
        <v>343</v>
      </c>
      <c r="V36" s="191"/>
      <c r="W36" s="191"/>
    </row>
    <row r="37" s="148" customFormat="1" ht="93.75" customHeight="1">
      <c r="A37" s="113" t="s">
        <v>344</v>
      </c>
      <c r="B37" s="282" t="s">
        <v>345</v>
      </c>
      <c r="C37" s="283" t="s">
        <v>346</v>
      </c>
      <c r="D37" s="284" t="s">
        <v>347</v>
      </c>
      <c r="E37" s="285" t="s">
        <v>348</v>
      </c>
      <c r="F37" s="286" t="s">
        <v>347</v>
      </c>
      <c r="G37" s="287" t="s">
        <v>349</v>
      </c>
      <c r="H37" s="288" t="s">
        <v>347</v>
      </c>
      <c r="I37" s="289" t="s">
        <v>350</v>
      </c>
      <c r="J37" s="290" t="s">
        <v>347</v>
      </c>
      <c r="K37" s="291" t="s">
        <v>351</v>
      </c>
      <c r="L37" s="292" t="s">
        <v>352</v>
      </c>
      <c r="M37" s="293" t="s">
        <v>353</v>
      </c>
      <c r="N37" s="144"/>
      <c r="O37" s="294" t="s">
        <v>354</v>
      </c>
      <c r="P37" s="295" t="s">
        <v>355</v>
      </c>
      <c r="Q37" s="296" t="s">
        <v>356</v>
      </c>
      <c r="R37" s="297" t="s">
        <v>357</v>
      </c>
      <c r="S37" s="298" t="s">
        <v>358</v>
      </c>
      <c r="T37" s="189"/>
      <c r="U37" s="299" t="s">
        <v>359</v>
      </c>
      <c r="V37" s="191"/>
      <c r="W37" s="191"/>
    </row>
    <row r="38" s="148" customFormat="1" ht="32.45" customHeight="1">
      <c r="A38" s="107" t="s">
        <v>360</v>
      </c>
      <c r="B38" s="169" t="s">
        <v>361</v>
      </c>
      <c r="C38" s="169" t="s">
        <v>361</v>
      </c>
      <c r="D38" s="168" t="s">
        <v>362</v>
      </c>
      <c r="E38" s="169" t="s">
        <v>361</v>
      </c>
      <c r="F38" s="168" t="s">
        <v>362</v>
      </c>
      <c r="G38" s="168" t="s">
        <v>363</v>
      </c>
      <c r="H38" s="168" t="s">
        <v>362</v>
      </c>
      <c r="I38" s="168" t="s">
        <v>362</v>
      </c>
      <c r="J38" s="168" t="s">
        <v>362</v>
      </c>
      <c r="K38" s="168" t="s">
        <v>364</v>
      </c>
      <c r="L38" s="110" t="s">
        <v>365</v>
      </c>
      <c r="M38" s="110" t="s">
        <v>361</v>
      </c>
      <c r="N38" s="168"/>
      <c r="O38" s="168" t="s">
        <v>362</v>
      </c>
      <c r="P38" s="181" t="s">
        <v>364</v>
      </c>
      <c r="Q38" s="110" t="s">
        <v>366</v>
      </c>
      <c r="R38" s="107" t="s">
        <v>363</v>
      </c>
      <c r="S38" s="190" t="s">
        <v>363</v>
      </c>
      <c r="T38" s="300" t="s">
        <v>367</v>
      </c>
      <c r="U38" s="189" t="s">
        <v>368</v>
      </c>
      <c r="V38" s="191"/>
      <c r="W38" s="191"/>
    </row>
    <row r="39" s="148" customFormat="1" ht="23.149999999999995" customHeight="1">
      <c r="A39" s="110" t="s">
        <v>369</v>
      </c>
      <c r="B39" s="110" t="s">
        <v>370</v>
      </c>
      <c r="C39" s="110" t="s">
        <v>370</v>
      </c>
      <c r="D39" s="110" t="s">
        <v>370</v>
      </c>
      <c r="E39" s="110" t="s">
        <v>370</v>
      </c>
      <c r="F39" s="110" t="s">
        <v>370</v>
      </c>
      <c r="G39" s="110" t="s">
        <v>370</v>
      </c>
      <c r="H39" s="110" t="s">
        <v>370</v>
      </c>
      <c r="I39" s="110" t="s">
        <v>370</v>
      </c>
      <c r="J39" s="110" t="s">
        <v>371</v>
      </c>
      <c r="K39" s="110" t="s">
        <v>372</v>
      </c>
      <c r="L39" s="110" t="s">
        <v>372</v>
      </c>
      <c r="M39" s="110" t="s">
        <v>371</v>
      </c>
      <c r="N39" s="110"/>
      <c r="O39" s="110" t="s">
        <v>371</v>
      </c>
      <c r="P39" s="110" t="s">
        <v>372</v>
      </c>
      <c r="Q39" s="164" t="s">
        <v>372</v>
      </c>
      <c r="R39" s="110" t="s">
        <v>372</v>
      </c>
      <c r="S39" s="110" t="s">
        <v>372</v>
      </c>
      <c r="T39" s="110"/>
      <c r="U39" s="110" t="s">
        <v>372</v>
      </c>
      <c r="V39" s="191"/>
      <c r="W39" s="191"/>
    </row>
    <row r="40" s="148" customFormat="1" ht="48.65" customHeight="1">
      <c r="A40" s="168" t="s">
        <v>373</v>
      </c>
      <c r="B40" s="110" t="s">
        <v>374</v>
      </c>
      <c r="C40" s="110" t="s">
        <v>374</v>
      </c>
      <c r="D40" s="110" t="s">
        <v>374</v>
      </c>
      <c r="E40" s="110" t="s">
        <v>374</v>
      </c>
      <c r="F40" s="110" t="s">
        <v>374</v>
      </c>
      <c r="G40" s="110" t="s">
        <v>374</v>
      </c>
      <c r="H40" s="110" t="s">
        <v>374</v>
      </c>
      <c r="I40" s="110" t="s">
        <v>374</v>
      </c>
      <c r="J40" s="110" t="s">
        <v>374</v>
      </c>
      <c r="K40" s="110" t="s">
        <v>375</v>
      </c>
      <c r="L40" s="110" t="s">
        <v>374</v>
      </c>
      <c r="M40" s="168" t="s">
        <v>375</v>
      </c>
      <c r="N40" s="168"/>
      <c r="O40" s="168" t="s">
        <v>375</v>
      </c>
      <c r="P40" s="110" t="s">
        <v>374</v>
      </c>
      <c r="Q40" s="110" t="s">
        <v>374</v>
      </c>
      <c r="R40" s="110" t="s">
        <v>374</v>
      </c>
      <c r="S40" s="110" t="s">
        <v>374</v>
      </c>
      <c r="T40" s="110"/>
      <c r="U40" s="110" t="s">
        <v>374</v>
      </c>
      <c r="V40" s="191"/>
      <c r="W40" s="191"/>
    </row>
    <row r="41" s="148" customFormat="1" ht="38.9" customHeight="1">
      <c r="A41" s="110" t="s">
        <v>376</v>
      </c>
      <c r="B41" s="109" t="s">
        <v>374</v>
      </c>
      <c r="C41" s="110" t="s">
        <v>374</v>
      </c>
      <c r="D41" s="110" t="s">
        <v>374</v>
      </c>
      <c r="E41" s="110" t="s">
        <v>374</v>
      </c>
      <c r="F41" s="110" t="s">
        <v>374</v>
      </c>
      <c r="G41" s="110" t="s">
        <v>374</v>
      </c>
      <c r="H41" s="110" t="s">
        <v>374</v>
      </c>
      <c r="I41" s="110" t="s">
        <v>374</v>
      </c>
      <c r="J41" s="110" t="s">
        <v>374</v>
      </c>
      <c r="K41" s="168" t="s">
        <v>375</v>
      </c>
      <c r="L41" s="164" t="s">
        <v>374</v>
      </c>
      <c r="M41" s="110" t="s">
        <v>375</v>
      </c>
      <c r="N41" s="110"/>
      <c r="O41" s="110" t="s">
        <v>375</v>
      </c>
      <c r="P41" s="109" t="s">
        <v>374</v>
      </c>
      <c r="Q41" s="110" t="s">
        <v>374</v>
      </c>
      <c r="R41" s="110" t="s">
        <v>374</v>
      </c>
      <c r="S41" s="110" t="s">
        <v>374</v>
      </c>
      <c r="T41" s="110"/>
      <c r="U41" s="110" t="s">
        <v>374</v>
      </c>
      <c r="V41" s="191"/>
      <c r="W41" s="191"/>
    </row>
    <row r="42" ht="16.5" customHeight="1">
      <c r="Q42" s="86"/>
      <c r="R42" s="86"/>
      <c r="S42" s="86"/>
    </row>
    <row r="43" ht="16.5" customHeight="1">
      <c r="Q43" s="86"/>
      <c r="R43" s="86"/>
      <c r="S43" s="86"/>
    </row>
    <row r="44" ht="16.5" customHeight="1">
      <c r="Q44" s="86"/>
      <c r="R44" s="86"/>
      <c r="S44" s="86"/>
    </row>
    <row r="45" ht="16.5" customHeight="1">
      <c r="Q45" s="86"/>
      <c r="R45" s="86"/>
      <c r="S45" s="86"/>
    </row>
    <row r="46" ht="16.5" customHeight="1">
      <c r="Q46" s="86"/>
      <c r="R46" s="86"/>
      <c r="S46" s="86"/>
    </row>
    <row r="47" ht="16.5" customHeight="1">
      <c r="Q47" s="86"/>
      <c r="R47" s="86"/>
      <c r="S47" s="86"/>
    </row>
    <row r="48" ht="16.5" customHeight="1">
      <c r="Q48" s="86"/>
      <c r="R48" s="86"/>
      <c r="S48" s="86"/>
    </row>
    <row r="49" ht="16.5" customHeight="1">
      <c r="Q49" s="86"/>
      <c r="R49" s="86"/>
      <c r="S49" s="86"/>
    </row>
    <row r="50" ht="16.5" customHeight="1">
      <c r="Q50" s="86"/>
      <c r="R50" s="86"/>
      <c r="S50" s="86"/>
    </row>
    <row r="51" ht="27.75" customHeight="1">
      <c r="D51" s="170"/>
      <c r="F51" s="171"/>
      <c r="Q51" s="86"/>
      <c r="R51" s="86"/>
      <c r="S51" s="86"/>
    </row>
    <row r="52" ht="27.75" customHeight="1">
      <c r="D52" s="170"/>
      <c r="F52" s="171"/>
      <c r="Q52" s="86"/>
      <c r="R52" s="86"/>
      <c r="S52" s="86"/>
    </row>
    <row r="53" ht="16.5" customHeight="1">
      <c r="Q53" s="86"/>
      <c r="R53" s="86"/>
      <c r="S53" s="86"/>
    </row>
    <row r="54" ht="16.5" customHeight="1">
      <c r="Q54" s="86"/>
      <c r="R54" s="86"/>
      <c r="S54" s="86"/>
    </row>
    <row r="55" ht="16.5" customHeight="1">
      <c r="Q55" s="86"/>
      <c r="R55" s="86"/>
      <c r="S55" s="86"/>
    </row>
    <row r="56" ht="16.5" customHeight="1">
      <c r="Q56" s="86"/>
      <c r="R56" s="86"/>
      <c r="S56" s="86"/>
    </row>
    <row r="57" ht="16.5" customHeight="1">
      <c r="Q57" s="86"/>
      <c r="R57" s="86"/>
      <c r="S57" s="86"/>
    </row>
  </sheetData>
  <mergeCells count="1">
    <mergeCell ref="A1:U1"/>
  </mergeCells>
  <phoneticPr fontId="1" type="noConversion"/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9.625" customWidth="1"/>
    <col min="2" max="2" width="44.8740234375" customWidth="1" style="95"/>
  </cols>
  <sheetData>
    <row r="1" ht="16.5" customHeight="1">
      <c r="A1" s="91"/>
      <c r="B1" s="113" t="s">
        <v>377</v>
      </c>
    </row>
    <row r="2" ht="16.5" customHeight="1">
      <c r="A2" s="91" t="s">
        <v>1</v>
      </c>
      <c r="B2" s="113" t="s">
        <v>378</v>
      </c>
    </row>
    <row r="3" ht="16.5" customHeight="1">
      <c r="A3" s="91" t="s">
        <v>22</v>
      </c>
      <c r="B3" s="113" t="s">
        <v>379</v>
      </c>
    </row>
    <row r="4" ht="16.5" customHeight="1">
      <c r="A4" s="174" t="s">
        <v>42</v>
      </c>
      <c r="B4" s="113" t="s">
        <v>380</v>
      </c>
    </row>
    <row r="5" ht="16.5" customHeight="1">
      <c r="A5" s="174" t="s">
        <v>60</v>
      </c>
      <c r="B5" s="113" t="s">
        <v>381</v>
      </c>
    </row>
    <row r="6" ht="16.5" customHeight="1">
      <c r="A6" s="174" t="s">
        <v>71</v>
      </c>
      <c r="B6" s="113" t="s">
        <v>382</v>
      </c>
    </row>
    <row r="7" ht="27.75" customHeight="1">
      <c r="A7" s="301" t="s">
        <v>73</v>
      </c>
      <c r="B7" s="302" t="s">
        <v>383</v>
      </c>
    </row>
    <row r="8" ht="16.5" customHeight="1">
      <c r="A8" s="174" t="s">
        <v>94</v>
      </c>
      <c r="B8" s="113" t="s">
        <v>384</v>
      </c>
    </row>
    <row r="9" ht="16.5" customHeight="1">
      <c r="A9" s="177" t="s">
        <v>115</v>
      </c>
      <c r="B9" s="113" t="s">
        <v>385</v>
      </c>
    </row>
    <row r="10" ht="16.5" customHeight="1">
      <c r="A10" s="177" t="s">
        <v>135</v>
      </c>
      <c r="B10" s="113" t="s">
        <v>386</v>
      </c>
    </row>
    <row r="11" ht="16.5" customHeight="1">
      <c r="A11" s="177" t="s">
        <v>138</v>
      </c>
      <c r="B11" s="113" t="s">
        <v>387</v>
      </c>
    </row>
    <row r="12" ht="16.5" customHeight="1">
      <c r="A12" s="177" t="s">
        <v>139</v>
      </c>
      <c r="B12" s="113" t="s">
        <v>388</v>
      </c>
    </row>
    <row r="13" ht="16.5" customHeight="1">
      <c r="A13" s="177" t="s">
        <v>149</v>
      </c>
      <c r="B13" s="113" t="s">
        <v>389</v>
      </c>
    </row>
    <row r="14" ht="16.5" customHeight="1">
      <c r="A14" s="177" t="s">
        <v>150</v>
      </c>
      <c r="B14" s="113" t="s">
        <v>390</v>
      </c>
    </row>
    <row r="15" ht="16.5" customHeight="1">
      <c r="A15" s="174" t="s">
        <v>151</v>
      </c>
      <c r="B15" s="113" t="s">
        <v>391</v>
      </c>
    </row>
    <row r="16" ht="16.5" customHeight="1">
      <c r="A16" s="108" t="s">
        <v>164</v>
      </c>
      <c r="B16" s="113" t="s">
        <v>392</v>
      </c>
    </row>
    <row r="17" ht="16.5" customHeight="1">
      <c r="A17" s="174" t="s">
        <v>179</v>
      </c>
      <c r="B17" s="113" t="s">
        <v>393</v>
      </c>
    </row>
    <row r="18" ht="16.5" customHeight="1">
      <c r="A18" s="174" t="s">
        <v>189</v>
      </c>
      <c r="B18" s="113" t="s">
        <v>394</v>
      </c>
    </row>
    <row r="19" ht="16.5" customHeight="1">
      <c r="A19" s="194" t="s">
        <v>190</v>
      </c>
      <c r="B19" s="113" t="s">
        <v>395</v>
      </c>
    </row>
    <row r="20" ht="16.5" customHeight="1">
      <c r="A20" s="174" t="s">
        <v>209</v>
      </c>
      <c r="B20" s="113" t="s">
        <v>396</v>
      </c>
    </row>
    <row r="21" ht="16.5" customHeight="1">
      <c r="A21" s="174" t="s">
        <v>222</v>
      </c>
      <c r="B21" s="113" t="s">
        <v>397</v>
      </c>
    </row>
    <row r="22" ht="16.5" customHeight="1">
      <c r="A22" s="174" t="s">
        <v>224</v>
      </c>
      <c r="B22" s="113" t="s">
        <v>398</v>
      </c>
    </row>
    <row r="23" ht="16.5" customHeight="1">
      <c r="A23" s="174" t="s">
        <v>225</v>
      </c>
      <c r="B23" s="113" t="s">
        <v>399</v>
      </c>
    </row>
    <row r="24" ht="16.5" customHeight="1">
      <c r="A24" s="174" t="s">
        <v>233</v>
      </c>
      <c r="B24" s="113" t="s">
        <v>400</v>
      </c>
    </row>
    <row r="25" ht="16.5" customHeight="1">
      <c r="A25" s="174" t="s">
        <v>237</v>
      </c>
      <c r="B25" s="113" t="s">
        <v>401</v>
      </c>
    </row>
    <row r="26" ht="16.5" customHeight="1">
      <c r="A26" s="174" t="s">
        <v>244</v>
      </c>
      <c r="B26" s="113" t="s">
        <v>402</v>
      </c>
    </row>
    <row r="27" ht="16.5" customHeight="1">
      <c r="A27" s="174" t="s">
        <v>251</v>
      </c>
      <c r="B27" s="113" t="s">
        <v>403</v>
      </c>
    </row>
    <row r="28" ht="16.5" customHeight="1">
      <c r="A28" s="174" t="s">
        <v>261</v>
      </c>
      <c r="B28" s="113" t="s">
        <v>404</v>
      </c>
    </row>
    <row r="29" ht="16.5" customHeight="1">
      <c r="A29" s="174" t="s">
        <v>262</v>
      </c>
      <c r="B29" s="113" t="s">
        <v>405</v>
      </c>
    </row>
    <row r="30" ht="41.25" customHeight="1">
      <c r="A30" s="303" t="s">
        <v>264</v>
      </c>
      <c r="B30" s="113" t="s">
        <v>406</v>
      </c>
    </row>
    <row r="31" ht="27.75" customHeight="1">
      <c r="A31" s="304" t="s">
        <v>277</v>
      </c>
      <c r="B31" s="113" t="s">
        <v>407</v>
      </c>
    </row>
    <row r="32" ht="27.75" customHeight="1">
      <c r="A32" s="305" t="s">
        <v>290</v>
      </c>
      <c r="B32" s="113" t="s">
        <v>408</v>
      </c>
    </row>
    <row r="33" ht="27.75" customHeight="1">
      <c r="A33" s="306" t="s">
        <v>296</v>
      </c>
      <c r="B33" s="113" t="s">
        <v>409</v>
      </c>
    </row>
    <row r="34" ht="27.75" customHeight="1">
      <c r="A34" s="307" t="s">
        <v>312</v>
      </c>
      <c r="B34" s="113" t="s">
        <v>410</v>
      </c>
    </row>
    <row r="35" ht="27.75" customHeight="1">
      <c r="A35" s="308" t="s">
        <v>331</v>
      </c>
      <c r="B35" s="113" t="s">
        <v>411</v>
      </c>
    </row>
    <row r="36" ht="16.5" customHeight="1">
      <c r="A36" s="92" t="s">
        <v>344</v>
      </c>
      <c r="B36" s="113" t="s">
        <v>412</v>
      </c>
    </row>
    <row r="37" ht="16.5" customHeight="1">
      <c r="A37" s="96" t="s">
        <v>360</v>
      </c>
      <c r="B37" s="113" t="s">
        <v>413</v>
      </c>
    </row>
    <row r="38" ht="16.5" customHeight="1">
      <c r="A38" s="164" t="s">
        <v>369</v>
      </c>
      <c r="B38" s="113" t="s">
        <v>414</v>
      </c>
    </row>
    <row r="39" ht="27.75" customHeight="1">
      <c r="A39" s="181" t="s">
        <v>373</v>
      </c>
      <c r="B39" s="113" t="s">
        <v>415</v>
      </c>
    </row>
    <row r="40" ht="27.75" customHeight="1">
      <c r="A40" s="164" t="s">
        <v>376</v>
      </c>
      <c r="B40" s="113" t="s">
        <v>416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4" activePane="bottomRight" state="frozen" xSplit="1" ySplit="3"/>
    </sheetView>
  </sheetViews>
  <sheetFormatPr baseColWidth="10" defaultColWidth="9.9990234375" defaultRowHeight="16.5" customHeight="1"/>
  <cols>
    <col min="1" max="1" width="21.498046875" customWidth="1" style="188"/>
    <col min="2" max="3" width="30.83203125" customWidth="1" style="188"/>
    <col min="4" max="4" width="25.998046875" customWidth="1" style="188"/>
    <col min="5" max="5" width="0.1640625" customWidth="1" style="188"/>
    <col min="6" max="6" width="20.8330078125" style="188"/>
    <col min="7" max="8" width="30.83203125" customWidth="1" style="188"/>
    <col min="9" max="9" width="25.166015625" customWidth="1" style="188"/>
    <col min="10" max="10" width="29.33203125" customWidth="1" style="188"/>
  </cols>
  <sheetData>
    <row r="1" ht="7.5" customHeight="1">
      <c r="A1" s="116"/>
      <c r="B1" s="117"/>
      <c r="C1" s="117"/>
      <c r="D1" s="117"/>
      <c r="E1" s="117"/>
      <c r="F1" s="117"/>
      <c r="G1" s="117"/>
      <c r="H1" s="117"/>
      <c r="J1" s="138"/>
    </row>
    <row r="2" ht="23.25" customHeight="1">
      <c r="A2" s="118" t="s">
        <v>1</v>
      </c>
      <c r="B2" s="118" t="s">
        <v>417</v>
      </c>
      <c r="C2" s="118" t="s">
        <v>418</v>
      </c>
      <c r="D2" s="118" t="s">
        <v>419</v>
      </c>
      <c r="E2" s="118" t="s">
        <v>420</v>
      </c>
      <c r="F2" s="118" t="s">
        <v>421</v>
      </c>
      <c r="G2" s="119" t="s">
        <v>421</v>
      </c>
      <c r="H2" s="119" t="s">
        <v>422</v>
      </c>
      <c r="I2" s="119" t="s">
        <v>423</v>
      </c>
      <c r="J2" s="139" t="s">
        <v>423</v>
      </c>
    </row>
    <row r="3" ht="16.5" customHeight="1">
      <c r="A3" s="120" t="s">
        <v>22</v>
      </c>
      <c r="B3" s="120" t="s">
        <v>424</v>
      </c>
      <c r="C3" s="120" t="s">
        <v>425</v>
      </c>
      <c r="D3" s="121" t="s">
        <v>426</v>
      </c>
      <c r="E3" s="121" t="s">
        <v>427</v>
      </c>
      <c r="F3" s="122" t="s">
        <v>428</v>
      </c>
      <c r="G3" s="123" t="s">
        <v>429</v>
      </c>
      <c r="H3" s="123" t="s">
        <v>430</v>
      </c>
      <c r="I3" s="140" t="s">
        <v>431</v>
      </c>
      <c r="J3" s="120" t="s">
        <v>432</v>
      </c>
    </row>
    <row r="4" ht="16.5" customHeight="1">
      <c r="A4" s="120" t="s">
        <v>433</v>
      </c>
      <c r="B4" s="128" t="s">
        <v>434</v>
      </c>
      <c r="C4" s="129" t="s">
        <v>435</v>
      </c>
      <c r="D4" s="129" t="s">
        <v>436</v>
      </c>
      <c r="E4" s="126" t="s">
        <v>434</v>
      </c>
      <c r="F4" s="130" t="s">
        <v>437</v>
      </c>
      <c r="G4" s="130" t="s">
        <v>437</v>
      </c>
      <c r="H4" s="130" t="s">
        <v>438</v>
      </c>
      <c r="I4" s="143" t="s">
        <v>438</v>
      </c>
      <c r="J4" s="143" t="s">
        <v>438</v>
      </c>
    </row>
    <row r="5" ht="16.5" customHeight="1" hidden="1">
      <c r="A5" s="120" t="s">
        <v>439</v>
      </c>
      <c r="B5" s="124" t="s">
        <v>334</v>
      </c>
      <c r="C5" s="124" t="n">
        <v>16920</v>
      </c>
      <c r="D5" s="125" t="n">
        <f>#REF!*0.9</f>
        <v>26820</v>
      </c>
      <c r="E5" s="126"/>
      <c r="F5" s="127" t="e">
        <f>#REF!*0.9</f>
        <v>#VALUE!</v>
      </c>
      <c r="G5" s="130" t="s">
        <v>334</v>
      </c>
      <c r="H5" s="127"/>
      <c r="I5" s="141"/>
      <c r="J5" s="142" t="n">
        <f>#REF!*0.9</f>
        <v>77940</v>
      </c>
    </row>
    <row r="6" ht="16.5" customHeight="1" hidden="1">
      <c r="A6" s="120" t="s">
        <v>440</v>
      </c>
      <c r="B6" s="124" t="s">
        <v>334</v>
      </c>
      <c r="C6" s="124" t="n">
        <v>15040</v>
      </c>
      <c r="D6" s="125" t="n">
        <f>#REF!*0.8</f>
        <v>23840</v>
      </c>
      <c r="E6" s="126"/>
      <c r="F6" s="127" t="e">
        <f>#REF!*0.8</f>
        <v>#VALUE!</v>
      </c>
      <c r="G6" s="130" t="s">
        <v>334</v>
      </c>
      <c r="H6" s="127"/>
      <c r="I6" s="141"/>
      <c r="J6" s="142" t="n">
        <f>#REF!*0.8</f>
        <v>69280</v>
      </c>
    </row>
    <row r="7" ht="16.5" customHeight="1">
      <c r="A7" s="120" t="s">
        <v>441</v>
      </c>
      <c r="B7" s="129" t="s">
        <v>442</v>
      </c>
      <c r="C7" s="129" t="s">
        <v>443</v>
      </c>
      <c r="D7" s="126" t="s">
        <v>444</v>
      </c>
      <c r="E7" s="126" t="s">
        <v>445</v>
      </c>
      <c r="F7" s="130" t="s">
        <v>446</v>
      </c>
      <c r="G7" s="130" t="s">
        <v>447</v>
      </c>
      <c r="H7" s="130" t="s">
        <v>448</v>
      </c>
      <c r="I7" s="116" t="s">
        <v>449</v>
      </c>
      <c r="J7" s="120" t="s">
        <v>450</v>
      </c>
    </row>
    <row r="8" ht="27.75" customHeight="1">
      <c r="A8" s="120" t="s">
        <v>451</v>
      </c>
      <c r="B8" s="131" t="s">
        <v>452</v>
      </c>
      <c r="C8" s="129" t="s">
        <v>453</v>
      </c>
      <c r="D8" s="126" t="s">
        <v>454</v>
      </c>
      <c r="E8" s="126" t="s">
        <v>455</v>
      </c>
      <c r="F8" s="130" t="s">
        <v>456</v>
      </c>
      <c r="G8" s="130" t="s">
        <v>457</v>
      </c>
      <c r="H8" s="130" t="s">
        <v>458</v>
      </c>
      <c r="I8" s="116" t="s">
        <v>459</v>
      </c>
      <c r="J8" s="120" t="s">
        <v>460</v>
      </c>
    </row>
    <row r="9" ht="16.5" customHeight="1">
      <c r="A9" s="120" t="s">
        <v>461</v>
      </c>
      <c r="B9" s="129" t="s">
        <v>462</v>
      </c>
      <c r="C9" s="129" t="s">
        <v>463</v>
      </c>
      <c r="D9" s="133" t="s">
        <v>463</v>
      </c>
      <c r="E9" s="126"/>
      <c r="F9" s="133" t="s">
        <v>463</v>
      </c>
      <c r="G9" s="130" t="s">
        <v>464</v>
      </c>
      <c r="H9" s="130" t="s">
        <v>464</v>
      </c>
      <c r="I9" s="130" t="s">
        <v>464</v>
      </c>
      <c r="J9" s="133" t="s">
        <v>463</v>
      </c>
    </row>
    <row r="10" ht="16.5" customHeight="1">
      <c r="A10" s="120" t="s">
        <v>465</v>
      </c>
      <c r="B10" s="129" t="s">
        <v>466</v>
      </c>
      <c r="C10" s="129" t="s">
        <v>467</v>
      </c>
      <c r="D10" s="133" t="s">
        <v>467</v>
      </c>
      <c r="E10" s="126" t="s">
        <v>466</v>
      </c>
      <c r="F10" s="130" t="s">
        <v>466</v>
      </c>
      <c r="G10" s="130" t="s">
        <v>466</v>
      </c>
      <c r="H10" s="130" t="s">
        <v>466</v>
      </c>
      <c r="I10" s="120" t="s">
        <v>468</v>
      </c>
      <c r="J10" s="120" t="s">
        <v>468</v>
      </c>
    </row>
    <row r="11" ht="16.5" customHeight="1">
      <c r="A11" s="120" t="s">
        <v>94</v>
      </c>
      <c r="B11" s="129" t="s">
        <v>469</v>
      </c>
      <c r="C11" s="129" t="s">
        <v>470</v>
      </c>
      <c r="D11" s="126" t="s">
        <v>471</v>
      </c>
      <c r="E11" s="126" t="s">
        <v>472</v>
      </c>
      <c r="F11" s="130" t="s">
        <v>473</v>
      </c>
      <c r="G11" s="130" t="s">
        <v>474</v>
      </c>
      <c r="H11" s="130" t="s">
        <v>475</v>
      </c>
      <c r="I11" s="116" t="s">
        <v>476</v>
      </c>
      <c r="J11" s="120" t="s">
        <v>477</v>
      </c>
    </row>
    <row r="12" ht="16.5" customHeight="1">
      <c r="A12" s="120" t="s">
        <v>478</v>
      </c>
      <c r="B12" s="133" t="s">
        <v>479</v>
      </c>
      <c r="C12" s="134" t="s">
        <v>480</v>
      </c>
      <c r="D12" s="132" t="s">
        <v>481</v>
      </c>
      <c r="E12" s="132" t="s">
        <v>482</v>
      </c>
      <c r="F12" s="130" t="s">
        <v>482</v>
      </c>
      <c r="G12" s="130" t="s">
        <v>482</v>
      </c>
      <c r="H12" s="130" t="s">
        <v>482</v>
      </c>
      <c r="I12" s="116" t="s">
        <v>483</v>
      </c>
      <c r="J12" s="144" t="s">
        <v>484</v>
      </c>
    </row>
    <row r="13" ht="16.5" customHeight="1">
      <c r="A13" s="120" t="s">
        <v>485</v>
      </c>
      <c r="B13" s="135" t="n">
        <v>0.23</v>
      </c>
      <c r="C13" s="135" t="n">
        <v>0.23</v>
      </c>
      <c r="D13" s="136" t="s">
        <v>486</v>
      </c>
      <c r="E13" s="126" t="s">
        <v>487</v>
      </c>
      <c r="F13" s="137" t="s">
        <v>488</v>
      </c>
      <c r="G13" s="137" t="s">
        <v>489</v>
      </c>
      <c r="H13" s="137" t="n">
        <v>0.23</v>
      </c>
      <c r="I13" s="116" t="s">
        <v>490</v>
      </c>
      <c r="J13" s="145" t="n">
        <v>0.243</v>
      </c>
    </row>
    <row r="14" ht="16.5" customHeight="1">
      <c r="A14" s="120" t="s">
        <v>491</v>
      </c>
      <c r="B14" s="129" t="s">
        <v>492</v>
      </c>
      <c r="C14" s="129" t="s">
        <v>493</v>
      </c>
      <c r="D14" s="126" t="s">
        <v>493</v>
      </c>
      <c r="E14" s="126" t="s">
        <v>494</v>
      </c>
      <c r="F14" s="130" t="s">
        <v>495</v>
      </c>
      <c r="G14" s="130" t="s">
        <v>496</v>
      </c>
      <c r="H14" s="130" t="s">
        <v>497</v>
      </c>
      <c r="I14" s="5" t="s">
        <v>495</v>
      </c>
      <c r="J14" s="120" t="s">
        <v>495</v>
      </c>
    </row>
    <row r="15" ht="16.5" customHeight="1">
      <c r="A15" s="120" t="s">
        <v>498</v>
      </c>
      <c r="B15" s="129" t="s">
        <v>499</v>
      </c>
      <c r="C15" s="134" t="s">
        <v>500</v>
      </c>
      <c r="D15" s="132" t="s">
        <v>501</v>
      </c>
      <c r="E15" s="132" t="s">
        <v>502</v>
      </c>
      <c r="F15" s="130" t="s">
        <v>503</v>
      </c>
      <c r="G15" s="130" t="s">
        <v>504</v>
      </c>
      <c r="H15" s="130" t="s">
        <v>502</v>
      </c>
      <c r="I15" s="116" t="s">
        <v>505</v>
      </c>
      <c r="J15" s="144" t="s">
        <v>506</v>
      </c>
    </row>
    <row r="16" ht="16.5" customHeight="1">
      <c r="A16" s="120" t="s">
        <v>507</v>
      </c>
      <c r="B16" s="129" t="s">
        <v>508</v>
      </c>
      <c r="C16" s="129" t="s">
        <v>509</v>
      </c>
      <c r="D16" s="126" t="s">
        <v>510</v>
      </c>
      <c r="E16" s="126" t="s">
        <v>511</v>
      </c>
      <c r="F16" s="130" t="s">
        <v>512</v>
      </c>
      <c r="G16" s="130" t="s">
        <v>513</v>
      </c>
      <c r="H16" s="130" t="s">
        <v>497</v>
      </c>
      <c r="I16" s="116" t="s">
        <v>512</v>
      </c>
      <c r="J16" s="120" t="s">
        <v>514</v>
      </c>
    </row>
    <row r="17" ht="16.5" customHeight="1">
      <c r="A17" s="120" t="s">
        <v>225</v>
      </c>
      <c r="B17" s="133" t="s">
        <v>228</v>
      </c>
      <c r="C17" s="129" t="s">
        <v>228</v>
      </c>
      <c r="D17" s="126" t="s">
        <v>515</v>
      </c>
      <c r="E17" s="126" t="s">
        <v>334</v>
      </c>
      <c r="F17" s="130" t="s">
        <v>516</v>
      </c>
      <c r="G17" s="130" t="s">
        <v>516</v>
      </c>
      <c r="H17" s="130" t="s">
        <v>515</v>
      </c>
      <c r="I17" s="120" t="s">
        <v>228</v>
      </c>
      <c r="J17" s="130" t="s">
        <v>515</v>
      </c>
    </row>
    <row r="18" ht="16.5" customHeight="1">
      <c r="A18" s="120" t="s">
        <v>517</v>
      </c>
      <c r="B18" s="133" t="s">
        <v>518</v>
      </c>
      <c r="C18" s="129" t="s">
        <v>518</v>
      </c>
      <c r="D18" s="130" t="s">
        <v>515</v>
      </c>
      <c r="E18" s="126" t="s">
        <v>334</v>
      </c>
      <c r="F18" s="130" t="s">
        <v>519</v>
      </c>
      <c r="G18" s="130" t="s">
        <v>519</v>
      </c>
      <c r="H18" s="130" t="s">
        <v>515</v>
      </c>
      <c r="I18" s="120" t="s">
        <v>518</v>
      </c>
      <c r="J18" s="130" t="s">
        <v>515</v>
      </c>
    </row>
    <row r="19" ht="16.5" customHeight="1">
      <c r="A19" s="120" t="s">
        <v>251</v>
      </c>
      <c r="B19" s="97" t="s">
        <v>520</v>
      </c>
      <c r="C19" s="97" t="s">
        <v>521</v>
      </c>
      <c r="D19" s="98" t="s">
        <v>521</v>
      </c>
      <c r="E19" s="98" t="s">
        <v>521</v>
      </c>
      <c r="F19" s="98" t="s">
        <v>522</v>
      </c>
      <c r="G19" s="98" t="s">
        <v>523</v>
      </c>
      <c r="H19" s="98" t="s">
        <v>523</v>
      </c>
      <c r="I19" s="99" t="s">
        <v>523</v>
      </c>
      <c r="J19" s="167" t="s">
        <v>521</v>
      </c>
    </row>
    <row r="20" ht="16.5" customHeight="1">
      <c r="A20" s="108" t="s">
        <v>524</v>
      </c>
      <c r="B20" s="166" t="s">
        <v>525</v>
      </c>
      <c r="C20" s="166" t="s">
        <v>526</v>
      </c>
      <c r="D20" s="101" t="s">
        <v>527</v>
      </c>
      <c r="E20" s="101"/>
      <c r="F20" s="101" t="s">
        <v>528</v>
      </c>
      <c r="G20" s="101" t="s">
        <v>528</v>
      </c>
      <c r="H20" s="101" t="s">
        <v>528</v>
      </c>
      <c r="I20" s="166" t="s">
        <v>529</v>
      </c>
      <c r="J20" s="166" t="s">
        <v>529</v>
      </c>
    </row>
    <row r="21" ht="73.5" customHeight="1">
      <c r="A21" s="144" t="s">
        <v>344</v>
      </c>
      <c r="B21" s="309" t="s">
        <v>530</v>
      </c>
      <c r="C21" s="310" t="s">
        <v>530</v>
      </c>
      <c r="D21" s="311" t="s">
        <v>531</v>
      </c>
      <c r="E21" s="312" t="s">
        <v>532</v>
      </c>
      <c r="F21" s="313" t="s">
        <v>533</v>
      </c>
      <c r="G21" s="146" t="s">
        <v>534</v>
      </c>
      <c r="H21" s="314" t="s">
        <v>535</v>
      </c>
      <c r="I21" s="315" t="s">
        <v>536</v>
      </c>
      <c r="J21" s="316" t="s">
        <v>533</v>
      </c>
    </row>
    <row r="22" ht="16.5" customHeight="1">
      <c r="D22" s="191"/>
    </row>
    <row r="23" ht="16.5" customHeight="1">
      <c r="D23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31.998046875" customWidth="1" style="84"/>
    <col min="2" max="2" width="31.998046875" customWidth="1" style="85"/>
  </cols>
  <sheetData>
    <row r="1" ht="23.25" customHeight="1">
      <c r="A1" s="86"/>
      <c r="B1" s="87" t="s">
        <v>537</v>
      </c>
    </row>
    <row r="2" ht="36.75" customHeight="1">
      <c r="A2" s="88" t="s">
        <v>538</v>
      </c>
      <c r="B2" s="89" t="s">
        <v>539</v>
      </c>
    </row>
    <row r="3" ht="41.25" customHeight="1">
      <c r="A3" s="88" t="s">
        <v>540</v>
      </c>
      <c r="B3" s="89" t="s">
        <v>539</v>
      </c>
    </row>
    <row r="4" ht="101.25" customHeight="1">
      <c r="A4" s="105" t="s">
        <v>541</v>
      </c>
      <c r="B4" s="90" t="s">
        <v>542</v>
      </c>
    </row>
    <row r="5" ht="95.25" customHeight="1">
      <c r="A5" s="88" t="s">
        <v>543</v>
      </c>
      <c r="B5" s="90" t="s">
        <v>544</v>
      </c>
    </row>
    <row r="6" ht="95.25" customHeight="1">
      <c r="A6" s="88" t="s">
        <v>545</v>
      </c>
      <c r="B6" s="90" t="s">
        <v>546</v>
      </c>
    </row>
    <row r="7" ht="60" customHeight="1">
      <c r="A7" s="93" t="s">
        <v>547</v>
      </c>
      <c r="B7" s="94" t="s">
        <v>548</v>
      </c>
    </row>
    <row r="8" ht="54.75" customHeight="1">
      <c r="A8" s="93" t="s">
        <v>549</v>
      </c>
      <c r="B8" s="94" t="s">
        <v>550</v>
      </c>
    </row>
    <row r="9" ht="54.75" customHeight="1">
      <c r="A9" s="88" t="s">
        <v>551</v>
      </c>
      <c r="B9" s="90" t="s">
        <v>552</v>
      </c>
    </row>
    <row r="19" ht="16.5" customHeight="1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1" activePane="bottomRight" state="frozen" xSplit="1"/>
    </sheetView>
  </sheetViews>
  <sheetFormatPr baseColWidth="10" defaultColWidth="9.9990234375" defaultRowHeight="16.5" customHeight="1"/>
  <cols>
    <col min="1" max="1" width="24" customWidth="1" style="188"/>
    <col min="2" max="2" width="13.6640625" customWidth="1" style="188"/>
    <col min="3" max="7" width="9.9990234375" customWidth="1" style="188"/>
    <col min="10" max="10" width="13.3330078125" customWidth="1" style="188"/>
    <col min="14" max="14" width="11.1650390625" customWidth="1" style="188"/>
    <col min="15" max="17" width="9.9990234375" style="7"/>
  </cols>
  <sheetData>
    <row r="1" ht="16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55"/>
      <c r="P1" s="55"/>
      <c r="Q1" s="55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ht="16.5" customHeight="1">
      <c r="A2" s="9" t="s">
        <v>553</v>
      </c>
      <c r="B2" s="10"/>
      <c r="C2" s="8"/>
      <c r="D2" s="8"/>
      <c r="E2" s="8"/>
      <c r="F2" s="8"/>
      <c r="G2" s="8"/>
      <c r="H2" s="8"/>
      <c r="I2" s="8"/>
      <c r="J2" s="8"/>
      <c r="K2" s="8"/>
      <c r="L2" s="32"/>
      <c r="M2" s="32"/>
      <c r="N2" s="32"/>
      <c r="O2" s="55"/>
      <c r="P2" s="55"/>
      <c r="Q2" s="55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ht="27.75" customHeight="1">
      <c r="A3" s="11" t="s">
        <v>554</v>
      </c>
      <c r="B3" s="12" t="s">
        <v>555</v>
      </c>
      <c r="C3" s="13"/>
      <c r="D3" s="13"/>
      <c r="E3" s="13"/>
      <c r="F3" s="13"/>
      <c r="G3" s="13"/>
      <c r="H3" s="13"/>
      <c r="I3" s="13"/>
      <c r="J3" s="13"/>
      <c r="K3" s="13"/>
      <c r="L3" s="56" t="s">
        <v>556</v>
      </c>
      <c r="M3" s="56" t="s">
        <v>557</v>
      </c>
      <c r="N3" s="56" t="s">
        <v>558</v>
      </c>
      <c r="O3" s="57"/>
      <c r="P3" s="55"/>
      <c r="Q3" s="55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ht="16.5" customHeight="1">
      <c r="A4" s="14" t="s">
        <v>559</v>
      </c>
      <c r="B4" s="15" t="n">
        <v>2980</v>
      </c>
      <c r="C4" s="13"/>
      <c r="D4" s="13"/>
      <c r="E4" s="13"/>
      <c r="F4" s="13"/>
      <c r="G4" s="13"/>
      <c r="H4" s="13"/>
      <c r="I4" s="13"/>
      <c r="J4" s="13"/>
      <c r="K4" s="13"/>
      <c r="L4" s="58" t="n">
        <v>2980</v>
      </c>
      <c r="M4" s="46" t="n">
        <v>7950</v>
      </c>
      <c r="N4" s="59" t="n">
        <f>L4+M4</f>
        <v>10930</v>
      </c>
      <c r="O4" s="57"/>
      <c r="P4" s="55"/>
      <c r="Q4" s="55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ht="16.5" customHeight="1">
      <c r="A5" s="8"/>
      <c r="B5" s="8"/>
      <c r="C5" s="8"/>
      <c r="D5" s="8"/>
      <c r="E5" s="8"/>
      <c r="F5" s="8"/>
      <c r="G5" s="8"/>
      <c r="H5" s="8"/>
      <c r="I5" s="13"/>
      <c r="J5" s="13"/>
      <c r="K5" s="13"/>
      <c r="L5" s="58" t="n">
        <v>2980</v>
      </c>
      <c r="M5" s="46" t="n">
        <v>12900</v>
      </c>
      <c r="N5" s="59" t="n">
        <f>L5+M5</f>
        <v>15880</v>
      </c>
      <c r="O5" s="57"/>
      <c r="P5" s="55"/>
      <c r="Q5" s="55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ht="16.5" customHeight="1" hidden="1">
      <c r="A6" s="9" t="s">
        <v>557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60"/>
      <c r="M6" s="60"/>
      <c r="N6" s="60"/>
      <c r="O6" s="61"/>
      <c r="P6" s="61"/>
      <c r="Q6" s="61"/>
      <c r="R6" s="10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ht="16.5" customHeight="1" hidden="1">
      <c r="A7" s="16" t="s">
        <v>560</v>
      </c>
      <c r="B7" s="17" t="s">
        <v>561</v>
      </c>
      <c r="C7" s="18"/>
      <c r="D7" s="18"/>
      <c r="E7" s="18"/>
      <c r="F7" s="18"/>
      <c r="G7" s="18"/>
      <c r="H7" s="18"/>
      <c r="I7" s="18"/>
      <c r="J7" s="18"/>
      <c r="K7" s="18" t="s">
        <v>555</v>
      </c>
      <c r="L7" s="19"/>
      <c r="M7" s="19"/>
      <c r="N7" s="19"/>
      <c r="O7" s="7"/>
      <c r="P7" s="7"/>
      <c r="Q7" s="7"/>
      <c r="R7" s="1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ht="16.5" customHeight="1" hidden="1">
      <c r="A8" s="19"/>
      <c r="B8" s="19"/>
      <c r="C8" s="20"/>
      <c r="D8" s="20"/>
      <c r="E8" s="20"/>
      <c r="F8" s="20"/>
      <c r="G8" s="20"/>
      <c r="H8" s="20" t="s">
        <v>562</v>
      </c>
      <c r="I8" s="20"/>
      <c r="J8" s="20"/>
      <c r="K8" s="20" t="s">
        <v>563</v>
      </c>
      <c r="L8" s="20" t="s">
        <v>564</v>
      </c>
      <c r="M8" s="20" t="s">
        <v>565</v>
      </c>
      <c r="N8" s="20" t="s">
        <v>566</v>
      </c>
      <c r="O8" s="20" t="s">
        <v>567</v>
      </c>
      <c r="P8" s="18"/>
      <c r="Q8" s="18" t="s">
        <v>568</v>
      </c>
      <c r="R8" s="1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ht="37.25" customHeight="1" hidden="1">
      <c r="A9" s="21" t="s">
        <v>569</v>
      </c>
      <c r="B9" s="22" t="s">
        <v>570</v>
      </c>
      <c r="C9" s="23"/>
      <c r="D9" s="23"/>
      <c r="E9" s="23"/>
      <c r="F9" s="23" t="s">
        <v>571</v>
      </c>
      <c r="G9" s="23"/>
      <c r="H9" s="24"/>
      <c r="I9" s="24"/>
      <c r="J9" s="24"/>
      <c r="K9" s="24" t="n">
        <v>27272</v>
      </c>
      <c r="L9" s="24" t="n">
        <v>11818</v>
      </c>
      <c r="M9" s="24" t="n">
        <v>9090</v>
      </c>
      <c r="O9" s="62" t="n">
        <v>6818</v>
      </c>
      <c r="R9" s="77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ht="37.25" customHeight="1" hidden="1">
      <c r="A10" s="25" t="s">
        <v>569</v>
      </c>
      <c r="B10" s="20" t="s">
        <v>572</v>
      </c>
      <c r="C10" s="26"/>
      <c r="D10" s="26"/>
      <c r="E10" s="26"/>
      <c r="F10" s="26" t="s">
        <v>573</v>
      </c>
      <c r="G10" s="26"/>
      <c r="H10" s="24"/>
      <c r="I10" s="24"/>
      <c r="J10" s="24"/>
      <c r="K10" s="24" t="n">
        <v>22727</v>
      </c>
      <c r="L10" s="63" t="n">
        <v>13636</v>
      </c>
      <c r="M10" s="63" t="n">
        <v>10454</v>
      </c>
      <c r="N10" s="19"/>
      <c r="O10" s="28" t="n">
        <v>8000</v>
      </c>
      <c r="R10" s="7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ht="37.25" customHeight="1" hidden="1">
      <c r="A11" s="21" t="s">
        <v>574</v>
      </c>
      <c r="B11" s="22" t="s">
        <v>575</v>
      </c>
      <c r="C11" s="26"/>
      <c r="D11" s="26"/>
      <c r="E11" s="26"/>
      <c r="F11" s="26" t="s">
        <v>576</v>
      </c>
      <c r="G11" s="26"/>
      <c r="H11" s="24"/>
      <c r="I11" s="24"/>
      <c r="J11" s="24"/>
      <c r="K11" s="24" t="n">
        <v>40909</v>
      </c>
      <c r="L11" s="24" t="n">
        <v>27272</v>
      </c>
      <c r="M11" s="64" t="n">
        <v>14090</v>
      </c>
      <c r="N11" s="19"/>
      <c r="O11" s="65" t="n">
        <v>11636</v>
      </c>
      <c r="R11" s="79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 ht="37.25" customHeight="1" hidden="1">
      <c r="A12" s="27" t="s">
        <v>577</v>
      </c>
      <c r="B12" s="20" t="s">
        <v>578</v>
      </c>
      <c r="C12" s="26"/>
      <c r="D12" s="26"/>
      <c r="E12" s="26"/>
      <c r="F12" s="26" t="s">
        <v>579</v>
      </c>
      <c r="G12" s="26"/>
      <c r="H12" s="28"/>
      <c r="I12" s="28"/>
      <c r="J12" s="28"/>
      <c r="K12" s="28" t="n">
        <v>8181</v>
      </c>
      <c r="L12" s="19"/>
      <c r="M12" s="19"/>
      <c r="N12" s="19"/>
      <c r="O12" s="7"/>
      <c r="P12" s="7"/>
      <c r="Q12" s="7"/>
      <c r="R12" s="2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ht="37.25" customHeight="1" hidden="1">
      <c r="A13" s="29" t="s">
        <v>580</v>
      </c>
      <c r="B13" s="30" t="s">
        <v>581</v>
      </c>
      <c r="C13" s="26"/>
      <c r="D13" s="26"/>
      <c r="E13" s="26"/>
      <c r="F13" s="26" t="s">
        <v>581</v>
      </c>
      <c r="G13" s="26"/>
      <c r="H13" s="24"/>
      <c r="I13" s="24"/>
      <c r="J13" s="24"/>
      <c r="K13" s="24" t="n">
        <v>11363</v>
      </c>
      <c r="L13" s="66" t="s">
        <v>334</v>
      </c>
      <c r="M13" s="19"/>
      <c r="N13" s="19"/>
      <c r="O13" s="7"/>
      <c r="P13" s="7"/>
      <c r="Q13" s="7"/>
      <c r="R13" s="66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 ht="37.25" customHeight="1" hidden="1">
      <c r="A14" s="29"/>
      <c r="B14" s="30" t="s">
        <v>582</v>
      </c>
      <c r="C14" s="26"/>
      <c r="D14" s="26"/>
      <c r="E14" s="26"/>
      <c r="F14" s="26" t="s">
        <v>583</v>
      </c>
      <c r="G14" s="26"/>
      <c r="H14" s="24"/>
      <c r="I14" s="24"/>
      <c r="J14" s="24"/>
      <c r="K14" s="24" t="n">
        <v>6363</v>
      </c>
      <c r="L14" s="24" t="n">
        <v>5454</v>
      </c>
      <c r="M14" s="24" t="n">
        <v>4545</v>
      </c>
      <c r="N14" s="19"/>
      <c r="O14" s="67" t="n">
        <v>3635</v>
      </c>
      <c r="P14" s="68"/>
      <c r="Q14" s="68"/>
      <c r="R14" s="80"/>
      <c r="S14" s="81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ht="16.5" customHeight="1" hidden="1">
      <c r="A15" s="14" t="s">
        <v>584</v>
      </c>
      <c r="B15" s="31" t="s">
        <v>585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7"/>
      <c r="P15" s="7"/>
      <c r="Q15" s="7"/>
      <c r="R15" s="31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ht="16.5" customHeight="1">
      <c r="A16" s="8"/>
      <c r="B16" s="8"/>
      <c r="C16" s="32"/>
      <c r="D16" s="32"/>
      <c r="E16" s="8"/>
      <c r="F16" s="8"/>
      <c r="G16" s="8"/>
      <c r="H16" s="8"/>
      <c r="I16" s="8"/>
      <c r="J16" s="8"/>
      <c r="K16" s="8"/>
      <c r="L16" s="8"/>
      <c r="M16" s="8"/>
      <c r="N16" s="69"/>
      <c r="O16" s="55"/>
      <c r="P16" s="55"/>
      <c r="Q16" s="55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 ht="36" customHeight="1">
      <c r="A17" s="33" t="s">
        <v>557</v>
      </c>
      <c r="B17" s="34"/>
      <c r="C17" s="35"/>
      <c r="D17" s="36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70"/>
      <c r="Q17" s="70"/>
      <c r="R17" s="70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 ht="36" customHeight="1">
      <c r="A18" s="39" t="s">
        <v>560</v>
      </c>
      <c r="B18" s="39" t="s">
        <v>561</v>
      </c>
      <c r="C18" s="40"/>
      <c r="D18" s="40" t="s">
        <v>555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71"/>
      <c r="P18" s="71"/>
      <c r="Q18" s="82"/>
      <c r="R18" s="83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 ht="36" customHeight="1">
      <c r="A19" s="19"/>
      <c r="B19" s="19"/>
      <c r="C19" s="42" t="s">
        <v>586</v>
      </c>
      <c r="D19" s="43" t="s">
        <v>587</v>
      </c>
      <c r="E19" s="317" t="s">
        <v>588</v>
      </c>
      <c r="F19" s="39" t="s">
        <v>589</v>
      </c>
      <c r="G19" s="39" t="s">
        <v>590</v>
      </c>
      <c r="H19" s="39" t="n">
        <v>1500</v>
      </c>
      <c r="I19" s="43" t="s">
        <v>591</v>
      </c>
      <c r="J19" s="318" t="s">
        <v>592</v>
      </c>
      <c r="K19" s="39" t="s">
        <v>593</v>
      </c>
      <c r="L19" s="39" t="n">
        <v>1000</v>
      </c>
      <c r="M19" s="39" t="n">
        <v>708</v>
      </c>
      <c r="N19" s="39" t="n">
        <v>700</v>
      </c>
      <c r="O19" s="72" t="n">
        <v>400</v>
      </c>
      <c r="P19" s="72" t="s">
        <v>594</v>
      </c>
      <c r="Q19" s="72" t="n">
        <v>240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 ht="54.75" customHeight="1">
      <c r="A20" s="44" t="s">
        <v>595</v>
      </c>
      <c r="B20" s="39" t="s">
        <v>570</v>
      </c>
      <c r="C20" s="45" t="s">
        <v>596</v>
      </c>
      <c r="D20" s="45" t="s">
        <v>597</v>
      </c>
      <c r="E20" s="45" t="s">
        <v>598</v>
      </c>
      <c r="F20" s="46" t="n">
        <v>31900</v>
      </c>
      <c r="G20" s="46" t="n">
        <v>31900</v>
      </c>
      <c r="H20" s="46" t="n">
        <v>28900</v>
      </c>
      <c r="I20" s="45" t="s">
        <v>599</v>
      </c>
      <c r="J20" s="45" t="s">
        <v>600</v>
      </c>
      <c r="K20" s="49" t="n">
        <v>31900</v>
      </c>
      <c r="L20" s="46" t="n">
        <v>13900</v>
      </c>
      <c r="M20" s="49" t="n">
        <v>11900</v>
      </c>
      <c r="N20" s="47"/>
      <c r="O20" s="23" t="n">
        <v>7950</v>
      </c>
      <c r="P20" s="45" t="s">
        <v>601</v>
      </c>
      <c r="Q20" s="49" t="n">
        <v>7950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 ht="43.5" customHeight="1">
      <c r="A21" s="44" t="s">
        <v>569</v>
      </c>
      <c r="B21" s="39" t="s">
        <v>572</v>
      </c>
      <c r="C21" s="7" t="n">
        <v>22900</v>
      </c>
      <c r="D21" s="7" t="n">
        <v>22900</v>
      </c>
      <c r="E21" s="45" t="s">
        <v>602</v>
      </c>
      <c r="F21" s="46" t="n">
        <v>25900</v>
      </c>
      <c r="G21" s="46"/>
      <c r="H21" s="47"/>
      <c r="I21" s="73" t="s">
        <v>603</v>
      </c>
      <c r="J21" s="7" t="n">
        <v>14900</v>
      </c>
      <c r="K21" s="46" t="n">
        <v>16900</v>
      </c>
      <c r="L21" s="46" t="n">
        <v>15090</v>
      </c>
      <c r="M21" s="49" t="n">
        <v>10500</v>
      </c>
      <c r="N21" s="47"/>
      <c r="O21" s="49" t="n">
        <v>8090</v>
      </c>
      <c r="P21" s="45" t="s">
        <v>604</v>
      </c>
      <c r="Q21" s="49" t="n">
        <v>8090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 ht="36" customHeight="1">
      <c r="A22" s="44" t="s">
        <v>574</v>
      </c>
      <c r="B22" s="39" t="s">
        <v>575</v>
      </c>
      <c r="C22" s="45" t="s">
        <v>605</v>
      </c>
      <c r="D22" s="45" t="s">
        <v>605</v>
      </c>
      <c r="E22" s="48" t="s">
        <v>334</v>
      </c>
      <c r="F22" s="46" t="n">
        <v>44900</v>
      </c>
      <c r="G22" s="46" t="n">
        <v>44900</v>
      </c>
      <c r="H22" s="46" t="n">
        <v>43900</v>
      </c>
      <c r="I22" s="45" t="s">
        <v>334</v>
      </c>
      <c r="J22" s="74" t="s">
        <v>606</v>
      </c>
      <c r="K22" s="46" t="n">
        <v>34900</v>
      </c>
      <c r="L22" s="46" t="n">
        <v>33900</v>
      </c>
      <c r="M22" s="49" t="n">
        <v>15900</v>
      </c>
      <c r="N22" s="47"/>
      <c r="O22" s="49" t="n">
        <v>12900</v>
      </c>
      <c r="P22" s="45" t="s">
        <v>607</v>
      </c>
      <c r="Q22" s="49" t="n">
        <v>12900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ht="36" customHeight="1">
      <c r="A23" s="44" t="s">
        <v>608</v>
      </c>
      <c r="B23" s="39" t="s">
        <v>609</v>
      </c>
      <c r="C23" s="46"/>
      <c r="D23" s="46"/>
      <c r="E23" s="46"/>
      <c r="F23" s="46" t="n">
        <v>22900</v>
      </c>
      <c r="G23" s="46" t="n">
        <v>22900</v>
      </c>
      <c r="H23" s="49" t="s">
        <v>334</v>
      </c>
      <c r="I23" s="75"/>
      <c r="J23" s="46"/>
      <c r="K23" s="46" t="n">
        <v>22900</v>
      </c>
      <c r="L23" s="49" t="s">
        <v>334</v>
      </c>
      <c r="M23" s="47"/>
      <c r="N23" s="47"/>
      <c r="O23" s="76"/>
      <c r="P23" s="76"/>
      <c r="Q23" s="76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</row>
    <row r="24" ht="36" customHeight="1">
      <c r="A24" s="50" t="s">
        <v>610</v>
      </c>
      <c r="B24" s="51" t="s">
        <v>611</v>
      </c>
      <c r="C24" s="52" t="n">
        <v>8890</v>
      </c>
      <c r="D24" s="52" t="n">
        <v>8890</v>
      </c>
      <c r="E24" s="52" t="n">
        <v>8090</v>
      </c>
      <c r="F24" s="52" t="s">
        <v>334</v>
      </c>
      <c r="G24" s="52"/>
      <c r="H24" s="53" t="n">
        <v>6363</v>
      </c>
      <c r="I24" s="53" t="n">
        <v>8090</v>
      </c>
      <c r="J24" s="53" t="n">
        <v>8090</v>
      </c>
      <c r="K24" s="53" t="s">
        <v>334</v>
      </c>
      <c r="L24" s="53" t="n">
        <v>5454</v>
      </c>
      <c r="M24" s="53" t="n">
        <v>4545</v>
      </c>
      <c r="N24" s="47"/>
      <c r="O24" s="53" t="n">
        <v>3635</v>
      </c>
      <c r="P24" s="76"/>
      <c r="Q24" s="76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ht="36" customHeight="1">
      <c r="A25" s="44" t="s">
        <v>584</v>
      </c>
      <c r="B25" s="39" t="s">
        <v>585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7"/>
      <c r="P25" s="7"/>
      <c r="Q25" s="7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 ht="16.5" customHeight="1">
      <c r="A26" s="5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55"/>
      <c r="P26" s="55"/>
      <c r="Q26" s="55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</row>
    <row r="27" ht="16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55"/>
      <c r="P27" s="55"/>
      <c r="Q27" s="55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</row>
    <row r="28" ht="16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55"/>
      <c r="P28" s="55"/>
      <c r="Q28" s="55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</row>
    <row r="29" ht="16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55"/>
      <c r="P29" s="55"/>
      <c r="Q29" s="55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 ht="16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55"/>
      <c r="P30" s="55"/>
      <c r="Q30" s="55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 ht="16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55"/>
      <c r="P31" s="55"/>
      <c r="Q31" s="55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</row>
    <row r="32" ht="16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55"/>
      <c r="P32" s="55"/>
      <c r="Q32" s="55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</row>
    <row r="33" ht="16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55"/>
      <c r="P33" s="55"/>
      <c r="Q33" s="55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 ht="16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55"/>
      <c r="P34" s="55"/>
      <c r="Q34" s="55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</row>
    <row r="35" ht="16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55"/>
      <c r="P35" s="55"/>
      <c r="Q35" s="55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ht="16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55"/>
      <c r="P36" s="55"/>
      <c r="Q36" s="55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</row>
    <row r="37" ht="16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55"/>
      <c r="P37" s="55"/>
      <c r="Q37" s="55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</row>
    <row r="38" ht="16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55"/>
      <c r="P38" s="55"/>
      <c r="Q38" s="55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55"/>
      <c r="P39" s="55"/>
      <c r="Q39" s="55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55"/>
      <c r="P40" s="55"/>
      <c r="Q40" s="55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55"/>
      <c r="P41" s="55"/>
      <c r="Q41" s="55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55"/>
      <c r="P42" s="55"/>
      <c r="Q42" s="55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55"/>
      <c r="P43" s="55"/>
      <c r="Q43" s="55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55"/>
      <c r="P44" s="55"/>
      <c r="Q44" s="55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55"/>
      <c r="P45" s="55"/>
      <c r="Q45" s="55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55"/>
      <c r="P46" s="55"/>
      <c r="Q46" s="55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55"/>
      <c r="P47" s="55"/>
      <c r="Q47" s="55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55"/>
      <c r="P48" s="55"/>
      <c r="Q48" s="55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55"/>
      <c r="P49" s="55"/>
      <c r="Q49" s="55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55"/>
      <c r="P50" s="55"/>
      <c r="Q50" s="55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55"/>
      <c r="P51" s="55"/>
      <c r="Q51" s="55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55"/>
      <c r="P52" s="55"/>
      <c r="Q52" s="55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55"/>
      <c r="P53" s="55"/>
      <c r="Q53" s="55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55"/>
      <c r="P54" s="55"/>
      <c r="Q54" s="55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55"/>
      <c r="P55" s="55"/>
      <c r="Q55" s="55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55"/>
      <c r="P56" s="55"/>
      <c r="Q56" s="55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55"/>
      <c r="P57" s="55"/>
      <c r="Q57" s="55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55"/>
      <c r="P58" s="55"/>
      <c r="Q58" s="55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55"/>
      <c r="P59" s="55"/>
      <c r="Q59" s="55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55"/>
      <c r="P60" s="55"/>
      <c r="Q60" s="55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55"/>
      <c r="P61" s="55"/>
      <c r="Q61" s="55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55"/>
      <c r="P62" s="55"/>
      <c r="Q62" s="55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55"/>
      <c r="P63" s="55"/>
      <c r="Q63" s="55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55"/>
      <c r="P64" s="55"/>
      <c r="Q64" s="55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55"/>
      <c r="P65" s="55"/>
      <c r="Q65" s="55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55"/>
      <c r="P66" s="55"/>
      <c r="Q66" s="55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55"/>
      <c r="P67" s="55"/>
      <c r="Q67" s="55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55"/>
      <c r="P68" s="55"/>
      <c r="Q68" s="55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55"/>
      <c r="P69" s="55"/>
      <c r="Q69" s="55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55"/>
      <c r="P70" s="55"/>
      <c r="Q70" s="55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55"/>
      <c r="P71" s="55"/>
      <c r="Q71" s="55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55"/>
      <c r="P72" s="55"/>
      <c r="Q72" s="55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55"/>
      <c r="P73" s="55"/>
      <c r="Q73" s="55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55"/>
      <c r="P74" s="55"/>
      <c r="Q74" s="55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55"/>
      <c r="P75" s="55"/>
      <c r="Q75" s="55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55"/>
      <c r="P76" s="55"/>
      <c r="Q76" s="55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55"/>
      <c r="P77" s="55"/>
      <c r="Q77" s="55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55"/>
      <c r="P78" s="55"/>
      <c r="Q78" s="55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55"/>
      <c r="P79" s="55"/>
      <c r="Q79" s="55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55"/>
      <c r="P80" s="55"/>
      <c r="Q80" s="55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55"/>
      <c r="P81" s="55"/>
      <c r="Q81" s="55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55"/>
      <c r="P82" s="55"/>
      <c r="Q82" s="55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55"/>
      <c r="P83" s="55"/>
      <c r="Q83" s="55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55"/>
      <c r="P84" s="55"/>
      <c r="Q84" s="55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55"/>
      <c r="P85" s="55"/>
      <c r="Q85" s="55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55"/>
      <c r="P86" s="55"/>
      <c r="Q86" s="55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55"/>
      <c r="P87" s="55"/>
      <c r="Q87" s="55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55"/>
      <c r="P88" s="55"/>
      <c r="Q88" s="55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55"/>
      <c r="P89" s="55"/>
      <c r="Q89" s="55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55"/>
      <c r="P90" s="55"/>
      <c r="Q90" s="55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55"/>
      <c r="P91" s="55"/>
      <c r="Q91" s="55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55"/>
      <c r="P92" s="55"/>
      <c r="Q92" s="55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55"/>
      <c r="P93" s="55"/>
      <c r="Q93" s="55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55"/>
      <c r="P94" s="55"/>
      <c r="Q94" s="55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55"/>
      <c r="P95" s="55"/>
      <c r="Q95" s="55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55"/>
      <c r="P96" s="55"/>
      <c r="Q96" s="55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55"/>
      <c r="P97" s="55"/>
      <c r="Q97" s="55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55"/>
      <c r="P98" s="55"/>
      <c r="Q98" s="55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55"/>
      <c r="P99" s="55"/>
      <c r="Q99" s="55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55"/>
      <c r="P100" s="55"/>
      <c r="Q100" s="55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55"/>
      <c r="P101" s="55"/>
      <c r="Q101" s="55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55"/>
      <c r="P102" s="55"/>
      <c r="Q102" s="55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55"/>
      <c r="P103" s="55"/>
      <c r="Q103" s="55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55"/>
      <c r="P104" s="55"/>
      <c r="Q104" s="55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55"/>
      <c r="P105" s="55"/>
      <c r="Q105" s="55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55"/>
      <c r="P106" s="55"/>
      <c r="Q106" s="55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55"/>
      <c r="P107" s="55"/>
      <c r="Q107" s="55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55"/>
      <c r="P108" s="55"/>
      <c r="Q108" s="55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55"/>
      <c r="P109" s="55"/>
      <c r="Q109" s="55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55"/>
      <c r="P110" s="55"/>
      <c r="Q110" s="55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55"/>
      <c r="P111" s="55"/>
      <c r="Q111" s="55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55"/>
      <c r="P112" s="55"/>
      <c r="Q112" s="55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55"/>
      <c r="P113" s="55"/>
      <c r="Q113" s="55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55"/>
      <c r="P114" s="55"/>
      <c r="Q114" s="55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55"/>
      <c r="P115" s="55"/>
      <c r="Q115" s="55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55"/>
      <c r="P116" s="55"/>
      <c r="Q116" s="55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55"/>
      <c r="P117" s="55"/>
      <c r="Q117" s="55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55"/>
      <c r="P118" s="55"/>
      <c r="Q118" s="55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55"/>
      <c r="P119" s="55"/>
      <c r="Q119" s="55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55"/>
      <c r="P120" s="55"/>
      <c r="Q120" s="55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55"/>
      <c r="P121" s="55"/>
      <c r="Q121" s="55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55"/>
      <c r="P122" s="55"/>
      <c r="Q122" s="55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55"/>
      <c r="P123" s="55"/>
      <c r="Q123" s="55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55"/>
      <c r="P124" s="55"/>
      <c r="Q124" s="55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55"/>
      <c r="P125" s="55"/>
      <c r="Q125" s="55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55"/>
      <c r="P126" s="55"/>
      <c r="Q126" s="55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55"/>
      <c r="P127" s="55"/>
      <c r="Q127" s="55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55"/>
      <c r="P128" s="55"/>
      <c r="Q128" s="55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55"/>
      <c r="P129" s="55"/>
      <c r="Q129" s="55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55"/>
      <c r="P130" s="55"/>
      <c r="Q130" s="55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55"/>
      <c r="P131" s="55"/>
      <c r="Q131" s="55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55"/>
      <c r="P132" s="55"/>
      <c r="Q132" s="55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55"/>
      <c r="P133" s="55"/>
      <c r="Q133" s="55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55"/>
      <c r="P134" s="55"/>
      <c r="Q134" s="55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55"/>
      <c r="P135" s="55"/>
      <c r="Q135" s="55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55"/>
      <c r="P136" s="55"/>
      <c r="Q136" s="55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55"/>
      <c r="P137" s="55"/>
      <c r="Q137" s="55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55"/>
      <c r="P138" s="55"/>
      <c r="Q138" s="55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55"/>
      <c r="P139" s="55"/>
      <c r="Q139" s="55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55"/>
      <c r="P140" s="55"/>
      <c r="Q140" s="55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55"/>
      <c r="P141" s="55"/>
      <c r="Q141" s="55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55"/>
      <c r="P142" s="55"/>
      <c r="Q142" s="55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55"/>
      <c r="P143" s="55"/>
      <c r="Q143" s="55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55"/>
      <c r="P144" s="55"/>
      <c r="Q144" s="55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55"/>
      <c r="P145" s="55"/>
      <c r="Q145" s="55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55"/>
      <c r="P146" s="55"/>
      <c r="Q146" s="55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55"/>
      <c r="P147" s="55"/>
      <c r="Q147" s="55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55"/>
      <c r="P148" s="55"/>
      <c r="Q148" s="55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55"/>
      <c r="P149" s="55"/>
      <c r="Q149" s="55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55"/>
      <c r="P150" s="55"/>
      <c r="Q150" s="55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55"/>
      <c r="P151" s="55"/>
      <c r="Q151" s="55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55"/>
      <c r="P152" s="55"/>
      <c r="Q152" s="55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55"/>
      <c r="P153" s="55"/>
      <c r="Q153" s="55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55"/>
      <c r="P154" s="55"/>
      <c r="Q154" s="55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55"/>
      <c r="P155" s="55"/>
      <c r="Q155" s="55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55"/>
      <c r="P156" s="55"/>
      <c r="Q156" s="55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55"/>
      <c r="P157" s="55"/>
      <c r="Q157" s="55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55"/>
      <c r="P158" s="55"/>
      <c r="Q158" s="55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55"/>
      <c r="P159" s="55"/>
      <c r="Q159" s="55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55"/>
      <c r="P160" s="55"/>
      <c r="Q160" s="55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55"/>
      <c r="P161" s="55"/>
      <c r="Q161" s="55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55"/>
      <c r="P162" s="55"/>
      <c r="Q162" s="55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55"/>
      <c r="P163" s="55"/>
      <c r="Q163" s="55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55"/>
      <c r="P164" s="55"/>
      <c r="Q164" s="55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55"/>
      <c r="P165" s="55"/>
      <c r="Q165" s="55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55"/>
      <c r="P166" s="55"/>
      <c r="Q166" s="55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55"/>
      <c r="P167" s="55"/>
      <c r="Q167" s="55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55"/>
      <c r="P168" s="55"/>
      <c r="Q168" s="55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55"/>
      <c r="P169" s="55"/>
      <c r="Q169" s="55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55"/>
      <c r="P170" s="55"/>
      <c r="Q170" s="55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55"/>
      <c r="P171" s="55"/>
      <c r="Q171" s="55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55"/>
      <c r="P172" s="55"/>
      <c r="Q172" s="55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55"/>
      <c r="P173" s="55"/>
      <c r="Q173" s="55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55"/>
      <c r="P174" s="55"/>
      <c r="Q174" s="55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55"/>
      <c r="P175" s="55"/>
      <c r="Q175" s="55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55"/>
      <c r="P176" s="55"/>
      <c r="Q176" s="55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55"/>
      <c r="P177" s="55"/>
      <c r="Q177" s="55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55"/>
      <c r="P178" s="55"/>
      <c r="Q178" s="55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55"/>
      <c r="P179" s="55"/>
      <c r="Q179" s="55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55"/>
      <c r="P180" s="55"/>
      <c r="Q180" s="55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55"/>
      <c r="P181" s="55"/>
      <c r="Q181" s="55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55"/>
      <c r="P182" s="55"/>
      <c r="Q182" s="55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55"/>
      <c r="P183" s="55"/>
      <c r="Q183" s="55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55"/>
      <c r="P184" s="55"/>
      <c r="Q184" s="55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55"/>
      <c r="P185" s="55"/>
      <c r="Q185" s="55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55"/>
      <c r="P186" s="55"/>
      <c r="Q186" s="55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55"/>
      <c r="P187" s="55"/>
      <c r="Q187" s="55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55"/>
      <c r="P188" s="55"/>
      <c r="Q188" s="55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55"/>
      <c r="P189" s="55"/>
      <c r="Q189" s="55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55"/>
      <c r="P190" s="55"/>
      <c r="Q190" s="55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55"/>
      <c r="P191" s="55"/>
      <c r="Q191" s="55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55"/>
      <c r="P192" s="55"/>
      <c r="Q192" s="55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55"/>
      <c r="P193" s="55"/>
      <c r="Q193" s="55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55"/>
      <c r="P194" s="55"/>
      <c r="Q194" s="55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55"/>
      <c r="P195" s="55"/>
      <c r="Q195" s="55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55"/>
      <c r="P196" s="55"/>
      <c r="Q196" s="55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55"/>
      <c r="P197" s="55"/>
      <c r="Q197" s="55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55"/>
      <c r="P198" s="55"/>
      <c r="Q198" s="55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55"/>
      <c r="P199" s="55"/>
      <c r="Q199" s="55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55"/>
      <c r="P200" s="55"/>
      <c r="Q200" s="55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</row>
  </sheetData>
  <mergeCells count="26">
    <mergeCell ref="M10:N10"/>
    <mergeCell ref="D18:Q18"/>
    <mergeCell ref="M9:N9"/>
    <mergeCell ref="M14:N14"/>
    <mergeCell ref="M11:N11"/>
    <mergeCell ref="F21:H21"/>
    <mergeCell ref="B18:B19"/>
    <mergeCell ref="O24:Q24"/>
    <mergeCell ref="K7:Q7"/>
    <mergeCell ref="L23:Q23"/>
    <mergeCell ref="K12:Q12"/>
    <mergeCell ref="O11:Q11"/>
    <mergeCell ref="B25:Q25"/>
    <mergeCell ref="M24:N24"/>
    <mergeCell ref="O9:Q9"/>
    <mergeCell ref="M20:N20"/>
    <mergeCell ref="L13:Q13"/>
    <mergeCell ref="O10:Q10"/>
    <mergeCell ref="O14:Q14"/>
    <mergeCell ref="B15:Q15"/>
    <mergeCell ref="C17:D17"/>
    <mergeCell ref="M21:N21"/>
    <mergeCell ref="M22:N22"/>
    <mergeCell ref="A18:A19"/>
    <mergeCell ref="B7:B8"/>
    <mergeCell ref="A7:A8"/>
  </mergeCells>
  <phoneticPr fontId="1" type="noConversion"/>
  <pageMargins left="0.7" right="0.7" top="0.75" bottom="0.75" header="0.3" footer="0.3"/>
</worksheet>
</file>

<file path=customXml/dingComments.xml><?xml version="1.0" encoding="utf-8"?>
<dingComments>
  <dingCommentList sheetId="1">
    <dingComment ref="Q36" cmtId="cmt-e47e693f-80430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2024-11-11T11:33:25Z</dcterms:modified>
</cp:coreProperties>
</file>